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enel\Downloads\"/>
    </mc:Choice>
  </mc:AlternateContent>
  <xr:revisionPtr revIDLastSave="0" documentId="13_ncr:1_{AFBC4595-01F0-4B9B-AE23-00490635A560}" xr6:coauthVersionLast="47" xr6:coauthVersionMax="47" xr10:uidLastSave="{00000000-0000-0000-0000-000000000000}"/>
  <bookViews>
    <workbookView xWindow="-120" yWindow="-120" windowWidth="29040" windowHeight="15720" activeTab="5" xr2:uid="{53181A7A-0377-4239-9570-5BAE18493DD0}"/>
  </bookViews>
  <sheets>
    <sheet name="Personal" sheetId="3" r:id="rId1"/>
    <sheet name="PM ACTIVIDAD" sheetId="5" state="hidden" r:id="rId2"/>
    <sheet name="Prestaciones" sheetId="2" r:id="rId3"/>
    <sheet name="PM_PROGMEDICA" sheetId="24" state="hidden" r:id="rId4"/>
    <sheet name="Ficha Programación" sheetId="1" state="hidden" r:id="rId5"/>
    <sheet name="OF" sheetId="9" r:id="rId6"/>
    <sheet name="JH" sheetId="10" r:id="rId7"/>
    <sheet name="VR" sheetId="12" r:id="rId8"/>
    <sheet name="EG" sheetId="14" r:id="rId9"/>
    <sheet name="VJ" sheetId="15" r:id="rId10"/>
    <sheet name="JG" sheetId="17" r:id="rId11"/>
    <sheet name="MG" sheetId="18" r:id="rId12"/>
    <sheet name="LR" sheetId="19" r:id="rId13"/>
    <sheet name="DR" sheetId="21" r:id="rId14"/>
  </sheets>
  <definedNames>
    <definedName name="_xlnm._FilterDatabase" localSheetId="2" hidden="1">Prestaciones!$A$1:$G$25</definedName>
    <definedName name="_xlnm.Print_Area" localSheetId="13">DR!$B$1:$H$33</definedName>
    <definedName name="_xlnm.Print_Area" localSheetId="8">EG!$B$1:$H$33</definedName>
    <definedName name="_xlnm.Print_Area" localSheetId="10">JG!$B$1:$H$33</definedName>
    <definedName name="_xlnm.Print_Area" localSheetId="6">JH!$B$1:$H$33</definedName>
    <definedName name="_xlnm.Print_Area" localSheetId="12">LR!$B$1:$H$33</definedName>
    <definedName name="_xlnm.Print_Area" localSheetId="11">MG!$B$1:$H$33</definedName>
    <definedName name="_xlnm.Print_Area" localSheetId="5">OF!$B$1:$H$33</definedName>
    <definedName name="_xlnm.Print_Area" localSheetId="0">Personal!$A$1:$G$10</definedName>
    <definedName name="_xlnm.Print_Area" localSheetId="9">VJ!$B$1:$H$33</definedName>
    <definedName name="_xlnm.Print_Area" localSheetId="7">VR!$B$1:$H$33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" l="1"/>
  <c r="F9" i="2"/>
  <c r="F4" i="21" l="1"/>
  <c r="C4" i="21"/>
  <c r="C5" i="21" s="1"/>
  <c r="F4" i="19"/>
  <c r="E9" i="3" s="1"/>
  <c r="C4" i="19"/>
  <c r="C5" i="19" s="1"/>
  <c r="F4" i="18"/>
  <c r="C4" i="18"/>
  <c r="C5" i="18" s="1"/>
  <c r="F4" i="17"/>
  <c r="E7" i="3" s="1"/>
  <c r="C4" i="17"/>
  <c r="C5" i="17" s="1"/>
  <c r="F4" i="15"/>
  <c r="E6" i="3" s="1"/>
  <c r="C4" i="15"/>
  <c r="F3" i="15" s="1"/>
  <c r="F4" i="14"/>
  <c r="E5" i="3" s="1"/>
  <c r="C4" i="14"/>
  <c r="C5" i="14" s="1"/>
  <c r="F4" i="12"/>
  <c r="C4" i="12"/>
  <c r="C5" i="12" s="1"/>
  <c r="F4" i="10"/>
  <c r="E3" i="3" s="1"/>
  <c r="C4" i="10"/>
  <c r="C5" i="10" s="1"/>
  <c r="F4" i="9"/>
  <c r="F3" i="9"/>
  <c r="F9" i="3" l="1"/>
  <c r="E8" i="3"/>
  <c r="F8" i="3" s="1"/>
  <c r="F6" i="3"/>
  <c r="F5" i="3"/>
  <c r="E10" i="3"/>
  <c r="F10" i="3" s="1"/>
  <c r="E4" i="3"/>
  <c r="F4" i="3" s="1"/>
  <c r="F3" i="3"/>
  <c r="F7" i="3"/>
  <c r="E2" i="3"/>
  <c r="F2" i="3" s="1"/>
  <c r="F3" i="21"/>
  <c r="F3" i="19"/>
  <c r="F3" i="18"/>
  <c r="F3" i="17"/>
  <c r="C5" i="15"/>
  <c r="F3" i="14"/>
  <c r="F3" i="12"/>
  <c r="F3" i="10"/>
  <c r="C5" i="9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2"/>
  <c r="D23" i="2"/>
  <c r="D22" i="2"/>
  <c r="D21" i="2"/>
  <c r="D20" i="2"/>
  <c r="D24" i="2"/>
  <c r="D2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F4" i="1" l="1"/>
  <c r="C4" i="1"/>
  <c r="C5" i="1" s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Minsal: 2 a 3</t>
        </r>
      </text>
    </comment>
    <comment ref="F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Minsal: 3 a 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</authors>
  <commentList>
    <comment ref="E1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Procedimiento Endosonografia Alta y Baja </t>
        </r>
      </text>
    </comment>
    <comment ref="G1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 xml:space="preserve">Procedimiento Endosonografia Alta y Baja </t>
        </r>
      </text>
    </comment>
    <comment ref="G22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Procedimiento Endosonografia Alta y Baja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  <author>Rosario del P. Pino Ubilla</author>
  </authors>
  <commentList>
    <comment ref="G10" authorId="0" shapeId="0" xr:uid="{00000000-0006-0000-0900-000001000000}">
      <text>
        <r>
          <rPr>
            <sz val="9"/>
            <color indexed="81"/>
            <rFont val="Tahoma"/>
            <family val="2"/>
          </rPr>
          <t>ENFERMEDADES INFLAMATORIAS</t>
        </r>
      </text>
    </comment>
    <comment ref="G21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Enfermedades inflamatorias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</authors>
  <commentList>
    <comment ref="E10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Comité de Biopsias 
Gastroenterología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Comité de Radiología Gastroenterología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  <author>Rosario del P. Pino Ubilla</author>
  </authors>
  <commentList>
    <comment ref="E1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Comité de Biopsias 
Gastroenterología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00000000-0006-0000-0D00-000002000000}">
      <text>
        <r>
          <rPr>
            <sz val="9"/>
            <color indexed="81"/>
            <rFont val="Tahoma"/>
            <family val="2"/>
          </rPr>
          <t xml:space="preserve">ENFERMEDADES INFLAMATORIAS
</t>
        </r>
      </text>
    </comment>
    <comment ref="G20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>Enfermedades inflamatorias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</authors>
  <commentList>
    <comment ref="E1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Comité de Hígado</t>
        </r>
      </text>
    </comment>
    <comment ref="F22" authorId="0" shapeId="0" xr:uid="{19C8FB39-83A6-4917-99C6-7C9E83C52FEE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F23" authorId="0" shapeId="0" xr:uid="{95E269D8-61CC-48AA-B66B-B38F8CF2298E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F24" authorId="0" shapeId="0" xr:uid="{A65EDA9F-866A-455C-8B75-275CD399CF9A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F25" authorId="0" shapeId="0" xr:uid="{1491A648-9937-4B87-AD48-492D5366AB5B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F26" authorId="0" shapeId="0" xr:uid="{E32DA831-7E42-466E-ADA4-058AAF5DDB32}">
      <text>
        <r>
          <rPr>
            <b/>
            <sz val="9"/>
            <color indexed="81"/>
            <rFont val="Tahoma"/>
            <family val="2"/>
          </rPr>
          <t>1 box docencia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René Lagos</author>
  </authors>
  <commentList>
    <comment ref="D1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Estudio de motilidad</t>
        </r>
      </text>
    </comment>
    <comment ref="G18" authorId="1" shapeId="0" xr:uid="{00000000-0006-0000-1000-000002000000}">
      <text>
        <r>
          <rPr>
            <b/>
            <sz val="9"/>
            <color indexed="81"/>
            <rFont val="Tahoma"/>
            <family val="2"/>
          </rPr>
          <t xml:space="preserve">Laboratorio Motilidad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</authors>
  <commentList>
    <comment ref="G22" authorId="0" shapeId="0" xr:uid="{18453F13-1779-4960-8BC4-1226F634803C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G23" authorId="0" shapeId="0" xr:uid="{24A6495F-B6D0-4FFA-9E9E-D47A9C05C619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G24" authorId="0" shapeId="0" xr:uid="{B3BC6DBD-A876-4CA0-9B38-86AD491512AF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G25" authorId="0" shapeId="0" xr:uid="{D400A775-78BF-4942-92B8-E81B57C19431}">
      <text>
        <r>
          <rPr>
            <b/>
            <sz val="9"/>
            <color indexed="81"/>
            <rFont val="Tahoma"/>
            <family val="2"/>
          </rPr>
          <t>1 box docencia</t>
        </r>
      </text>
    </comment>
    <comment ref="G26" authorId="0" shapeId="0" xr:uid="{FFE04020-8983-49C3-AFAB-CAF587D84351}">
      <text>
        <r>
          <rPr>
            <b/>
            <sz val="9"/>
            <color indexed="81"/>
            <rFont val="Tahoma"/>
            <family val="2"/>
          </rPr>
          <t>1 box docencia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René Lagos</author>
    <author>Usuario</author>
  </authors>
  <commentList>
    <comment ref="E1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Comité de Biopsias 
Gastroenterología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 shapeId="0" xr:uid="{00000000-0006-0000-1300-000002000000}">
      <text>
        <r>
          <rPr>
            <sz val="9"/>
            <color indexed="81"/>
            <rFont val="Tahoma"/>
            <family val="2"/>
          </rPr>
          <t xml:space="preserve">INVESTIGACION  HEPATOLOGIA
</t>
        </r>
      </text>
    </comment>
    <comment ref="H1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Comité de Radiología Gastroenterología</t>
        </r>
      </text>
    </comment>
    <comment ref="E18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Comité de Hígado</t>
        </r>
      </text>
    </comment>
    <comment ref="G21" authorId="1" shapeId="0" xr:uid="{00000000-0006-0000-13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Estudio de Motilidad/ Manometría</t>
        </r>
      </text>
    </comment>
    <comment ref="H22" authorId="0" shapeId="0" xr:uid="{994533CB-788E-4058-A24B-87DECA284B93}">
      <text>
        <r>
          <rPr>
            <b/>
            <sz val="9"/>
            <color indexed="81"/>
            <rFont val="Tahoma"/>
            <family val="2"/>
          </rPr>
          <t>2 box docencia</t>
        </r>
      </text>
    </comment>
    <comment ref="F23" authorId="1" shapeId="0" xr:uid="{00000000-0006-0000-13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Estudio de Motilidad/ Manometría</t>
        </r>
      </text>
    </comment>
    <comment ref="H23" authorId="0" shapeId="0" xr:uid="{D7D7366C-19A0-4CB0-ADAD-8D64FEFA3244}">
      <text>
        <r>
          <rPr>
            <b/>
            <sz val="9"/>
            <color indexed="81"/>
            <rFont val="Tahoma"/>
            <family val="2"/>
          </rPr>
          <t>2 box docencia</t>
        </r>
      </text>
    </comment>
    <comment ref="H24" authorId="0" shapeId="0" xr:uid="{233042FC-26BE-4CEC-85C8-BB1F075E98B6}">
      <text>
        <r>
          <rPr>
            <b/>
            <sz val="9"/>
            <color indexed="81"/>
            <rFont val="Tahoma"/>
            <family val="2"/>
          </rPr>
          <t>2 box docencia</t>
        </r>
      </text>
    </comment>
    <comment ref="H25" authorId="0" shapeId="0" xr:uid="{79A02725-2CD9-43E2-83FC-6E857404CF2E}">
      <text>
        <r>
          <rPr>
            <b/>
            <sz val="9"/>
            <color indexed="81"/>
            <rFont val="Tahoma"/>
            <family val="2"/>
          </rPr>
          <t>2 box docencia</t>
        </r>
      </text>
    </comment>
    <comment ref="H26" authorId="0" shapeId="0" xr:uid="{763DA0BC-3F01-46CC-B332-0AB16A462846}">
      <text>
        <r>
          <rPr>
            <b/>
            <sz val="9"/>
            <color indexed="81"/>
            <rFont val="Tahoma"/>
            <family val="2"/>
          </rPr>
          <t>2 box docencia</t>
        </r>
      </text>
    </comment>
  </commentList>
</comments>
</file>

<file path=xl/sharedStrings.xml><?xml version="1.0" encoding="utf-8"?>
<sst xmlns="http://schemas.openxmlformats.org/spreadsheetml/2006/main" count="693" uniqueCount="83">
  <si>
    <t>Lunes</t>
  </si>
  <si>
    <t>Martes</t>
  </si>
  <si>
    <t>Miércoles</t>
  </si>
  <si>
    <t>Jueves</t>
  </si>
  <si>
    <t>Viernes</t>
  </si>
  <si>
    <t>Especialidad</t>
  </si>
  <si>
    <t>Colación</t>
  </si>
  <si>
    <t>Consulta nueva</t>
  </si>
  <si>
    <t>Consulta control</t>
  </si>
  <si>
    <t>RUT</t>
  </si>
  <si>
    <t>Nombres</t>
  </si>
  <si>
    <t>Profesión</t>
  </si>
  <si>
    <t>Rendimiento</t>
  </si>
  <si>
    <t>Inicio</t>
  </si>
  <si>
    <t>Término</t>
  </si>
  <si>
    <t>Nombre:</t>
  </si>
  <si>
    <t>RUT:</t>
  </si>
  <si>
    <t>Hrs contratadas:</t>
  </si>
  <si>
    <t>Hrs programadas:</t>
  </si>
  <si>
    <t>Profesión:</t>
  </si>
  <si>
    <t>Ficha de Programación</t>
  </si>
  <si>
    <t>Telemedicina: Teleconsulta Nueva</t>
  </si>
  <si>
    <t>Comité Clínico</t>
  </si>
  <si>
    <t>Colonoscopía</t>
  </si>
  <si>
    <t>Endoscopía digestiva</t>
  </si>
  <si>
    <t>Otros procedimientos médicos</t>
  </si>
  <si>
    <t>Procedimientos especialidad</t>
  </si>
  <si>
    <t>Contacto telefónico: Consulta Control</t>
  </si>
  <si>
    <t>Interconsulta en sala presencial</t>
  </si>
  <si>
    <t>Otras Actividades Clínicas</t>
  </si>
  <si>
    <t>Reunión Clínica</t>
  </si>
  <si>
    <t>Visita a sala Hospitalizado</t>
  </si>
  <si>
    <t>Gestión Organizacional (Administrativo/ Jefatura)</t>
  </si>
  <si>
    <t>Observación</t>
  </si>
  <si>
    <t>Nombre Prestación o Actividad</t>
  </si>
  <si>
    <t>Gastroenterología adulto [GA]</t>
  </si>
  <si>
    <t>Medicina interna [MI]</t>
  </si>
  <si>
    <t>PONIACHIK TELLER, JAIME MELCHOR</t>
  </si>
  <si>
    <t>Médico(a) Cirujano(a)</t>
  </si>
  <si>
    <t>ID ACTIVIDAD</t>
  </si>
  <si>
    <t>Docencia e Investigación</t>
  </si>
  <si>
    <t>Gastroduodenoscopía (incluye esofagoscopía)</t>
  </si>
  <si>
    <t>ACTIVIDAD HCUCH</t>
  </si>
  <si>
    <t>TIPO ACTIVIDAD</t>
  </si>
  <si>
    <t>CONSULTA</t>
  </si>
  <si>
    <t>TELEMEDICINA</t>
  </si>
  <si>
    <t>Elastografia hepatica (informe fibroscan)</t>
  </si>
  <si>
    <t>PROCEDIMIENTO</t>
  </si>
  <si>
    <t>OTRAS ACTIVIDADES CLÍNICAS</t>
  </si>
  <si>
    <t>ACTIVIDADES NO CLÍNICAS</t>
  </si>
  <si>
    <t>ID PREST</t>
  </si>
  <si>
    <t>Sin especialidad</t>
  </si>
  <si>
    <t>ID ACT</t>
  </si>
  <si>
    <t>Consulta control docencia</t>
  </si>
  <si>
    <t>[GA] Consulta nueva</t>
  </si>
  <si>
    <t>[GA] Otras Actividades Clínicas</t>
  </si>
  <si>
    <t>[GA] Consulta control</t>
  </si>
  <si>
    <t>Hrs programadas</t>
  </si>
  <si>
    <t>[GA] Procedimientos especialidad</t>
  </si>
  <si>
    <t>[GA] Colonoscopía</t>
  </si>
  <si>
    <t>[GA] Endoscopía digestiva</t>
  </si>
  <si>
    <t>[GA] Comité Clínico</t>
  </si>
  <si>
    <t>[GA] Reunión Clínica</t>
  </si>
  <si>
    <t>[GA] Telemedicina: Teleconsulta Nueva</t>
  </si>
  <si>
    <t>Observaciones</t>
  </si>
  <si>
    <t>[GA] Consulta nueva+docencia</t>
  </si>
  <si>
    <t>Consulta nueva+docencia</t>
  </si>
  <si>
    <t>Observación:</t>
  </si>
  <si>
    <t>Dias Laborales</t>
  </si>
  <si>
    <t>Delta</t>
  </si>
  <si>
    <t>Hrs contratos</t>
  </si>
  <si>
    <t>Orlando Flores</t>
  </si>
  <si>
    <t>Juana Hernandez</t>
  </si>
  <si>
    <t>Vicente Rojas</t>
  </si>
  <si>
    <t>Enrique González</t>
  </si>
  <si>
    <t>Victor Jara</t>
  </si>
  <si>
    <t>José Galleguillos</t>
  </si>
  <si>
    <t>Mariana Gil</t>
  </si>
  <si>
    <t>Luis Reyes</t>
  </si>
  <si>
    <t>Daniela Ruiz</t>
  </si>
  <si>
    <t>Actividad Minsal</t>
  </si>
  <si>
    <t>Encargada Unidad</t>
  </si>
  <si>
    <t>Comisión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</si>
</sst>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5" borderId="3" applyNumberFormat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1" xfId="1"/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0" fontId="2" fillId="0" borderId="2" xfId="0" applyFont="1" applyBorder="1"/>
    <xf numFmtId="0" fontId="0" fillId="0" borderId="0" xfId="0" applyAlignment="1">
      <alignment horizontal="left" indent="9"/>
    </xf>
    <xf numFmtId="0" fontId="0" fillId="4" borderId="2" xfId="0" applyFill="1" applyBorder="1"/>
    <xf numFmtId="0" fontId="0" fillId="0" borderId="2" xfId="0" applyBorder="1" applyAlignment="1">
      <alignment wrapText="1"/>
    </xf>
    <xf numFmtId="0" fontId="5" fillId="5" borderId="3" xfId="2"/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5" fillId="5" borderId="3" xfId="2" applyAlignment="1">
      <alignment wrapText="1"/>
    </xf>
    <xf numFmtId="0" fontId="0" fillId="6" borderId="2" xfId="0" applyFill="1" applyBorder="1"/>
    <xf numFmtId="0" fontId="0" fillId="7" borderId="2" xfId="0" applyFill="1" applyBorder="1"/>
    <xf numFmtId="0" fontId="0" fillId="0" borderId="0" xfId="0" applyAlignment="1">
      <alignment horizontal="right"/>
    </xf>
    <xf numFmtId="0" fontId="0" fillId="8" borderId="2" xfId="0" applyFill="1" applyBorder="1"/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9" borderId="2" xfId="0" applyFill="1" applyBorder="1"/>
    <xf numFmtId="0" fontId="2" fillId="0" borderId="0" xfId="0" applyFont="1" applyAlignment="1">
      <alignment wrapText="1"/>
    </xf>
    <xf numFmtId="165" fontId="0" fillId="9" borderId="2" xfId="0" applyNumberFormat="1" applyFill="1" applyBorder="1"/>
  </cellXfs>
  <cellStyles count="3">
    <cellStyle name="Encabezado 1" xfId="1" builtinId="16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685801</xdr:colOff>
      <xdr:row>0</xdr:row>
      <xdr:rowOff>0</xdr:rowOff>
    </xdr:from>
    <xdr:to>
      <xdr:col>8</xdr:col>
      <xdr:colOff>23938</xdr:colOff>
      <xdr:row>1</xdr:row>
      <xdr:rowOff>189029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9876" y="0"/>
          <a:ext cx="1309812" cy="446204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0</xdr:rowOff>
    </xdr:from>
    <xdr:to>
      <xdr:col>7</xdr:col>
      <xdr:colOff>666750</xdr:colOff>
      <xdr:row>2</xdr:row>
      <xdr:rowOff>104775</xdr:rowOff>
    </xdr:to>
    <xdr:pic>
      <xdr:nvPicPr>
        <xdr:cNvPr id="4" name="Imagen 3" descr="Logos y escudos institucionales de la Escuela de Salud Pública - Escuela de  Salud Públic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A1:H10"/>
  <sheetViews>
    <sheetView workbookViewId="0">
      <selection activeCell="B13" sqref="B13"/>
    </sheetView>
  </sheetViews>
  <sheetFormatPr baseColWidth="10" defaultRowHeight="15" x14ac:dyDescent="0.25"/>
  <cols>
    <col min="2" max="2" width="31.28515625" customWidth="1"/>
    <col min="3" max="3" width="18.28515625" hidden="1" customWidth="1"/>
    <col min="4" max="4" width="10.7109375" customWidth="1"/>
    <col min="5" max="5" width="12.5703125" customWidth="1"/>
    <col min="6" max="6" width="6.5703125" customWidth="1"/>
    <col min="7" max="7" width="39.42578125" customWidth="1"/>
    <col min="8" max="8" width="12.28515625" bestFit="1" customWidth="1"/>
  </cols>
  <sheetData>
    <row r="1" spans="1:8" ht="30" x14ac:dyDescent="0.25">
      <c r="A1" s="7" t="s">
        <v>9</v>
      </c>
      <c r="B1" s="7" t="s">
        <v>10</v>
      </c>
      <c r="C1" s="7" t="s">
        <v>11</v>
      </c>
      <c r="D1" s="12" t="s">
        <v>70</v>
      </c>
      <c r="E1" s="13" t="s">
        <v>57</v>
      </c>
      <c r="F1" s="14" t="s">
        <v>69</v>
      </c>
      <c r="G1" s="12" t="s">
        <v>64</v>
      </c>
      <c r="H1" s="24" t="s">
        <v>68</v>
      </c>
    </row>
    <row r="2" spans="1:8" x14ac:dyDescent="0.25">
      <c r="A2" s="3">
        <v>123456</v>
      </c>
      <c r="B2" s="3" t="s">
        <v>71</v>
      </c>
      <c r="C2" s="3" t="s">
        <v>38</v>
      </c>
      <c r="D2" s="3">
        <v>22</v>
      </c>
      <c r="E2" s="9">
        <f>OF!F4</f>
        <v>22</v>
      </c>
      <c r="F2" s="11">
        <f t="shared" ref="F2:F10" si="0">D2-E2</f>
        <v>0</v>
      </c>
      <c r="G2" s="10"/>
      <c r="H2" s="19">
        <v>200</v>
      </c>
    </row>
    <row r="3" spans="1:8" x14ac:dyDescent="0.25">
      <c r="A3" s="3">
        <v>678910</v>
      </c>
      <c r="B3" s="3" t="s">
        <v>72</v>
      </c>
      <c r="C3" s="3" t="s">
        <v>38</v>
      </c>
      <c r="D3" s="3">
        <v>33</v>
      </c>
      <c r="E3" s="9">
        <f>JH!F4</f>
        <v>22</v>
      </c>
      <c r="F3" s="11">
        <f t="shared" si="0"/>
        <v>11</v>
      </c>
      <c r="G3" s="10"/>
      <c r="H3" s="19">
        <v>200</v>
      </c>
    </row>
    <row r="4" spans="1:8" x14ac:dyDescent="0.25">
      <c r="A4" s="3">
        <v>321654</v>
      </c>
      <c r="B4" s="3" t="s">
        <v>73</v>
      </c>
      <c r="C4" s="3" t="s">
        <v>38</v>
      </c>
      <c r="D4" s="3">
        <v>22</v>
      </c>
      <c r="E4" s="9">
        <f>VR!F4</f>
        <v>22</v>
      </c>
      <c r="F4" s="11">
        <f t="shared" si="0"/>
        <v>0</v>
      </c>
      <c r="G4" s="10"/>
      <c r="H4" s="19">
        <v>200</v>
      </c>
    </row>
    <row r="5" spans="1:8" x14ac:dyDescent="0.25">
      <c r="A5" s="3">
        <v>987321</v>
      </c>
      <c r="B5" s="3" t="s">
        <v>74</v>
      </c>
      <c r="C5" s="3" t="s">
        <v>38</v>
      </c>
      <c r="D5" s="3">
        <v>22</v>
      </c>
      <c r="E5" s="9">
        <f>EG!F4</f>
        <v>22</v>
      </c>
      <c r="F5" s="11">
        <f t="shared" si="0"/>
        <v>0</v>
      </c>
      <c r="G5" s="10"/>
      <c r="H5" s="19">
        <v>200</v>
      </c>
    </row>
    <row r="6" spans="1:8" x14ac:dyDescent="0.25">
      <c r="A6" s="3">
        <v>951843</v>
      </c>
      <c r="B6" s="3" t="s">
        <v>75</v>
      </c>
      <c r="C6" s="3" t="s">
        <v>38</v>
      </c>
      <c r="D6" s="3">
        <v>22</v>
      </c>
      <c r="E6" s="9">
        <f>VJ!F4</f>
        <v>33</v>
      </c>
      <c r="F6" s="11">
        <f t="shared" si="0"/>
        <v>-11</v>
      </c>
      <c r="G6" s="10"/>
      <c r="H6" s="19">
        <v>200</v>
      </c>
    </row>
    <row r="7" spans="1:8" x14ac:dyDescent="0.25">
      <c r="A7" s="3">
        <v>357681</v>
      </c>
      <c r="B7" s="3" t="s">
        <v>76</v>
      </c>
      <c r="C7" s="3" t="s">
        <v>38</v>
      </c>
      <c r="D7" s="3">
        <v>22</v>
      </c>
      <c r="E7" s="9">
        <f>JG!F4</f>
        <v>22</v>
      </c>
      <c r="F7" s="11">
        <f t="shared" si="0"/>
        <v>0</v>
      </c>
      <c r="G7" s="10"/>
      <c r="H7" s="19">
        <v>200</v>
      </c>
    </row>
    <row r="8" spans="1:8" x14ac:dyDescent="0.25">
      <c r="A8" s="3">
        <v>852963</v>
      </c>
      <c r="B8" s="3" t="s">
        <v>77</v>
      </c>
      <c r="C8" s="3" t="s">
        <v>38</v>
      </c>
      <c r="D8" s="3">
        <v>22</v>
      </c>
      <c r="E8" s="9">
        <f>MG!F4</f>
        <v>22</v>
      </c>
      <c r="F8" s="11">
        <f t="shared" si="0"/>
        <v>0</v>
      </c>
      <c r="G8" s="10"/>
      <c r="H8" s="19">
        <v>200</v>
      </c>
    </row>
    <row r="9" spans="1:8" x14ac:dyDescent="0.25">
      <c r="A9" s="3">
        <v>147258</v>
      </c>
      <c r="B9" s="3" t="s">
        <v>78</v>
      </c>
      <c r="C9" s="3" t="s">
        <v>38</v>
      </c>
      <c r="D9" s="3">
        <v>22</v>
      </c>
      <c r="E9" s="9">
        <f>LR!F4</f>
        <v>22</v>
      </c>
      <c r="F9" s="11">
        <f t="shared" si="0"/>
        <v>0</v>
      </c>
      <c r="G9" s="10"/>
      <c r="H9" s="19">
        <v>200</v>
      </c>
    </row>
    <row r="10" spans="1:8" x14ac:dyDescent="0.25">
      <c r="A10" s="3">
        <v>369874</v>
      </c>
      <c r="B10" s="3" t="s">
        <v>79</v>
      </c>
      <c r="C10" s="3" t="s">
        <v>38</v>
      </c>
      <c r="D10" s="3">
        <v>22</v>
      </c>
      <c r="E10" s="9">
        <f>VR!F4</f>
        <v>22</v>
      </c>
      <c r="F10" s="11">
        <f t="shared" si="0"/>
        <v>0</v>
      </c>
      <c r="G10" s="10"/>
      <c r="H10" s="19">
        <v>200</v>
      </c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baseColWidth="10" defaultRowHeight="15" x14ac:dyDescent="0.25"/>
  <cols>
    <col min="1" max="1" width="45.5703125" bestFit="1" customWidth="1"/>
    <col min="2" max="2" width="13" bestFit="1" customWidth="1"/>
    <col min="3" max="3" width="27.85546875" bestFit="1" customWidth="1"/>
  </cols>
  <sheetData>
    <row r="1" spans="1:3" x14ac:dyDescent="0.25">
      <c r="A1" s="3" t="s">
        <v>42</v>
      </c>
      <c r="B1" s="3" t="s">
        <v>39</v>
      </c>
      <c r="C1" s="3" t="s">
        <v>43</v>
      </c>
    </row>
    <row r="2" spans="1:3" x14ac:dyDescent="0.25">
      <c r="A2" s="3" t="s">
        <v>7</v>
      </c>
      <c r="B2" s="3">
        <v>1</v>
      </c>
      <c r="C2" s="3" t="s">
        <v>44</v>
      </c>
    </row>
    <row r="3" spans="1:3" x14ac:dyDescent="0.25">
      <c r="A3" s="3" t="s">
        <v>66</v>
      </c>
      <c r="B3" s="3">
        <v>2</v>
      </c>
      <c r="C3" s="3" t="s">
        <v>44</v>
      </c>
    </row>
    <row r="4" spans="1:3" x14ac:dyDescent="0.25">
      <c r="A4" s="3" t="s">
        <v>8</v>
      </c>
      <c r="B4" s="3">
        <v>3</v>
      </c>
      <c r="C4" s="3" t="s">
        <v>44</v>
      </c>
    </row>
    <row r="5" spans="1:3" x14ac:dyDescent="0.25">
      <c r="A5" s="3" t="s">
        <v>53</v>
      </c>
      <c r="B5" s="3">
        <v>4</v>
      </c>
      <c r="C5" s="3" t="s">
        <v>44</v>
      </c>
    </row>
    <row r="6" spans="1:3" x14ac:dyDescent="0.25">
      <c r="A6" s="3" t="s">
        <v>21</v>
      </c>
      <c r="B6" s="3">
        <v>5</v>
      </c>
      <c r="C6" s="3" t="s">
        <v>45</v>
      </c>
    </row>
    <row r="7" spans="1:3" x14ac:dyDescent="0.25">
      <c r="A7" s="3" t="s">
        <v>27</v>
      </c>
      <c r="B7" s="3">
        <v>6</v>
      </c>
      <c r="C7" s="3" t="s">
        <v>45</v>
      </c>
    </row>
    <row r="8" spans="1:3" x14ac:dyDescent="0.25">
      <c r="A8" s="3" t="s">
        <v>24</v>
      </c>
      <c r="B8" s="3">
        <v>9</v>
      </c>
      <c r="C8" s="3" t="s">
        <v>47</v>
      </c>
    </row>
    <row r="9" spans="1:3" x14ac:dyDescent="0.25">
      <c r="A9" s="3" t="s">
        <v>23</v>
      </c>
      <c r="B9" s="3">
        <v>8</v>
      </c>
      <c r="C9" s="3" t="s">
        <v>47</v>
      </c>
    </row>
    <row r="10" spans="1:3" x14ac:dyDescent="0.25">
      <c r="A10" s="3" t="s">
        <v>46</v>
      </c>
      <c r="B10" s="3">
        <v>21</v>
      </c>
      <c r="C10" s="3" t="s">
        <v>47</v>
      </c>
    </row>
    <row r="11" spans="1:3" x14ac:dyDescent="0.25">
      <c r="A11" s="3" t="s">
        <v>41</v>
      </c>
      <c r="B11" s="3">
        <v>20</v>
      </c>
      <c r="C11" s="3" t="s">
        <v>47</v>
      </c>
    </row>
    <row r="12" spans="1:3" x14ac:dyDescent="0.25">
      <c r="A12" s="3" t="s">
        <v>26</v>
      </c>
      <c r="B12" s="3">
        <v>11</v>
      </c>
      <c r="C12" s="3" t="s">
        <v>47</v>
      </c>
    </row>
    <row r="13" spans="1:3" x14ac:dyDescent="0.25">
      <c r="A13" s="3" t="s">
        <v>25</v>
      </c>
      <c r="B13" s="3">
        <v>10</v>
      </c>
      <c r="C13" s="3" t="s">
        <v>47</v>
      </c>
    </row>
    <row r="14" spans="1:3" x14ac:dyDescent="0.25">
      <c r="A14" s="3" t="s">
        <v>22</v>
      </c>
      <c r="B14" s="3">
        <v>7</v>
      </c>
      <c r="C14" s="3" t="s">
        <v>48</v>
      </c>
    </row>
    <row r="15" spans="1:3" x14ac:dyDescent="0.25">
      <c r="A15" s="3" t="s">
        <v>28</v>
      </c>
      <c r="B15" s="3">
        <v>12</v>
      </c>
      <c r="C15" s="3" t="s">
        <v>48</v>
      </c>
    </row>
    <row r="16" spans="1:3" x14ac:dyDescent="0.25">
      <c r="A16" s="3" t="s">
        <v>29</v>
      </c>
      <c r="B16" s="3">
        <v>13</v>
      </c>
      <c r="C16" s="3" t="s">
        <v>48</v>
      </c>
    </row>
    <row r="17" spans="1:3" x14ac:dyDescent="0.25">
      <c r="A17" s="3" t="s">
        <v>30</v>
      </c>
      <c r="B17" s="3">
        <v>14</v>
      </c>
      <c r="C17" s="3" t="s">
        <v>48</v>
      </c>
    </row>
    <row r="18" spans="1:3" x14ac:dyDescent="0.25">
      <c r="A18" s="3" t="s">
        <v>31</v>
      </c>
      <c r="B18" s="3">
        <v>15</v>
      </c>
      <c r="C18" s="3" t="s">
        <v>48</v>
      </c>
    </row>
    <row r="19" spans="1:3" x14ac:dyDescent="0.25">
      <c r="A19" s="3" t="s">
        <v>40</v>
      </c>
      <c r="B19" s="3">
        <v>18</v>
      </c>
      <c r="C19" s="3" t="s">
        <v>48</v>
      </c>
    </row>
    <row r="20" spans="1:3" x14ac:dyDescent="0.25">
      <c r="A20" s="3" t="s">
        <v>32</v>
      </c>
      <c r="B20" s="3">
        <v>16</v>
      </c>
      <c r="C20" s="3" t="s">
        <v>49</v>
      </c>
    </row>
    <row r="21" spans="1:3" x14ac:dyDescent="0.25">
      <c r="A21" s="3" t="s">
        <v>6</v>
      </c>
      <c r="B21" s="3">
        <v>17</v>
      </c>
      <c r="C21" s="3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G25"/>
  <sheetViews>
    <sheetView workbookViewId="0">
      <selection activeCell="B30" sqref="B30"/>
    </sheetView>
  </sheetViews>
  <sheetFormatPr baseColWidth="10" defaultRowHeight="15" x14ac:dyDescent="0.25"/>
  <cols>
    <col min="1" max="1" width="24.5703125" bestFit="1" customWidth="1"/>
    <col min="2" max="2" width="38.5703125" customWidth="1"/>
    <col min="3" max="3" width="6.7109375" customWidth="1"/>
    <col min="4" max="4" width="33.7109375" customWidth="1"/>
    <col min="5" max="5" width="8.5703125" customWidth="1"/>
    <col min="6" max="6" width="16" customWidth="1"/>
    <col min="7" max="7" width="17.42578125" customWidth="1"/>
  </cols>
  <sheetData>
    <row r="1" spans="1:7" x14ac:dyDescent="0.25">
      <c r="A1" s="7" t="s">
        <v>5</v>
      </c>
      <c r="B1" s="7" t="s">
        <v>80</v>
      </c>
      <c r="C1" s="7" t="s">
        <v>52</v>
      </c>
      <c r="D1" s="7" t="s">
        <v>34</v>
      </c>
      <c r="E1" s="7" t="s">
        <v>50</v>
      </c>
      <c r="F1" s="7" t="s">
        <v>12</v>
      </c>
      <c r="G1" s="7" t="s">
        <v>33</v>
      </c>
    </row>
    <row r="2" spans="1:7" x14ac:dyDescent="0.25">
      <c r="A2" s="3" t="s">
        <v>35</v>
      </c>
      <c r="B2" s="3" t="s">
        <v>7</v>
      </c>
      <c r="C2" s="3">
        <f>VLOOKUP(B2,'PM ACTIVIDAD'!A:B,2,FALSE)</f>
        <v>1</v>
      </c>
      <c r="D2" s="3" t="str">
        <f t="shared" ref="D2:D19" si="0">RIGHT(A2,4)&amp;" "&amp;B2</f>
        <v>[GA] Consulta nueva</v>
      </c>
      <c r="E2" s="3">
        <v>1</v>
      </c>
      <c r="F2" s="23">
        <v>3</v>
      </c>
      <c r="G2" s="3"/>
    </row>
    <row r="3" spans="1:7" x14ac:dyDescent="0.25">
      <c r="A3" s="3" t="s">
        <v>35</v>
      </c>
      <c r="B3" s="3" t="s">
        <v>66</v>
      </c>
      <c r="C3" s="3">
        <f>VLOOKUP(B3,'PM ACTIVIDAD'!A:B,2,FALSE)</f>
        <v>2</v>
      </c>
      <c r="D3" s="3" t="str">
        <f t="shared" si="0"/>
        <v>[GA] Consulta nueva+docencia</v>
      </c>
      <c r="E3" s="3">
        <v>2</v>
      </c>
      <c r="F3" s="23">
        <v>3</v>
      </c>
      <c r="G3" s="3"/>
    </row>
    <row r="4" spans="1:7" x14ac:dyDescent="0.25">
      <c r="A4" s="3" t="s">
        <v>35</v>
      </c>
      <c r="B4" s="3" t="s">
        <v>8</v>
      </c>
      <c r="C4" s="3">
        <f>VLOOKUP(B4,'PM ACTIVIDAD'!A:B,2,FALSE)</f>
        <v>3</v>
      </c>
      <c r="D4" s="3" t="str">
        <f t="shared" si="0"/>
        <v>[GA] Consulta control</v>
      </c>
      <c r="E4" s="3">
        <v>3</v>
      </c>
      <c r="F4" s="23">
        <v>4</v>
      </c>
      <c r="G4" s="3"/>
    </row>
    <row r="5" spans="1:7" x14ac:dyDescent="0.25">
      <c r="A5" s="3" t="s">
        <v>35</v>
      </c>
      <c r="B5" s="3" t="s">
        <v>53</v>
      </c>
      <c r="C5" s="3">
        <f>VLOOKUP(B5,'PM ACTIVIDAD'!A:B,2,FALSE)</f>
        <v>4</v>
      </c>
      <c r="D5" s="3" t="str">
        <f t="shared" si="0"/>
        <v>[GA] Consulta control docencia</v>
      </c>
      <c r="E5" s="3">
        <v>4</v>
      </c>
      <c r="F5" s="23">
        <v>2</v>
      </c>
      <c r="G5" s="3"/>
    </row>
    <row r="6" spans="1:7" x14ac:dyDescent="0.25">
      <c r="A6" s="3" t="s">
        <v>35</v>
      </c>
      <c r="B6" s="3" t="s">
        <v>21</v>
      </c>
      <c r="C6" s="3">
        <f>VLOOKUP(B6,'PM ACTIVIDAD'!A:B,2,FALSE)</f>
        <v>5</v>
      </c>
      <c r="D6" s="3" t="str">
        <f t="shared" si="0"/>
        <v>[GA] Telemedicina: Teleconsulta Nueva</v>
      </c>
      <c r="E6" s="3">
        <v>5</v>
      </c>
      <c r="F6" s="23">
        <v>1</v>
      </c>
      <c r="G6" s="3"/>
    </row>
    <row r="7" spans="1:7" x14ac:dyDescent="0.25">
      <c r="A7" s="3" t="s">
        <v>35</v>
      </c>
      <c r="B7" s="3" t="s">
        <v>27</v>
      </c>
      <c r="C7" s="3">
        <f>VLOOKUP(B7,'PM ACTIVIDAD'!A:B,2,FALSE)</f>
        <v>6</v>
      </c>
      <c r="D7" s="3" t="str">
        <f t="shared" si="0"/>
        <v>[GA] Contacto telefónico: Consulta Control</v>
      </c>
      <c r="E7" s="3">
        <v>6</v>
      </c>
      <c r="F7" s="3">
        <v>3</v>
      </c>
      <c r="G7" s="3"/>
    </row>
    <row r="8" spans="1:7" x14ac:dyDescent="0.25">
      <c r="A8" s="3" t="s">
        <v>35</v>
      </c>
      <c r="B8" s="3" t="s">
        <v>24</v>
      </c>
      <c r="C8" s="3">
        <f>VLOOKUP(B8,'PM ACTIVIDAD'!A:B,2,FALSE)</f>
        <v>9</v>
      </c>
      <c r="D8" s="3" t="str">
        <f t="shared" si="0"/>
        <v>[GA] Endoscopía digestiva</v>
      </c>
      <c r="E8" s="3">
        <v>7</v>
      </c>
      <c r="F8" s="23">
        <v>2</v>
      </c>
      <c r="G8" s="3"/>
    </row>
    <row r="9" spans="1:7" x14ac:dyDescent="0.25">
      <c r="A9" s="3" t="s">
        <v>35</v>
      </c>
      <c r="B9" s="3" t="s">
        <v>23</v>
      </c>
      <c r="C9" s="3">
        <f>VLOOKUP(B9,'PM ACTIVIDAD'!A:B,2,FALSE)</f>
        <v>8</v>
      </c>
      <c r="D9" s="3" t="str">
        <f t="shared" si="0"/>
        <v>[GA] Colonoscopía</v>
      </c>
      <c r="E9" s="3">
        <v>8</v>
      </c>
      <c r="F9" s="25">
        <f>60/40</f>
        <v>1.5</v>
      </c>
      <c r="G9" s="3"/>
    </row>
    <row r="10" spans="1:7" x14ac:dyDescent="0.25">
      <c r="A10" s="3" t="s">
        <v>35</v>
      </c>
      <c r="B10" s="3" t="s">
        <v>46</v>
      </c>
      <c r="C10" s="3">
        <f>VLOOKUP(B10,'PM ACTIVIDAD'!A:B,2,FALSE)</f>
        <v>21</v>
      </c>
      <c r="D10" s="3" t="str">
        <f t="shared" si="0"/>
        <v>[GA] Elastografia hepatica (informe fibroscan)</v>
      </c>
      <c r="E10" s="3">
        <v>9</v>
      </c>
      <c r="F10" s="3"/>
      <c r="G10" s="3"/>
    </row>
    <row r="11" spans="1:7" x14ac:dyDescent="0.25">
      <c r="A11" s="3" t="s">
        <v>35</v>
      </c>
      <c r="B11" s="3" t="s">
        <v>41</v>
      </c>
      <c r="C11" s="3">
        <f>VLOOKUP(B11,'PM ACTIVIDAD'!A:B,2,FALSE)</f>
        <v>20</v>
      </c>
      <c r="D11" s="3" t="str">
        <f t="shared" si="0"/>
        <v>[GA] Gastroduodenoscopía (incluye esofagoscopía)</v>
      </c>
      <c r="E11" s="3">
        <v>10</v>
      </c>
      <c r="F11" s="3">
        <v>1</v>
      </c>
      <c r="G11" s="3"/>
    </row>
    <row r="12" spans="1:7" x14ac:dyDescent="0.25">
      <c r="A12" s="3" t="s">
        <v>35</v>
      </c>
      <c r="B12" s="3" t="s">
        <v>26</v>
      </c>
      <c r="C12" s="3">
        <f>VLOOKUP(B12,'PM ACTIVIDAD'!A:B,2,FALSE)</f>
        <v>11</v>
      </c>
      <c r="D12" s="3" t="str">
        <f t="shared" si="0"/>
        <v>[GA] Procedimientos especialidad</v>
      </c>
      <c r="E12" s="3">
        <v>11</v>
      </c>
      <c r="F12" s="3">
        <v>1</v>
      </c>
      <c r="G12" s="3"/>
    </row>
    <row r="13" spans="1:7" x14ac:dyDescent="0.25">
      <c r="A13" s="3" t="s">
        <v>35</v>
      </c>
      <c r="B13" s="3" t="s">
        <v>25</v>
      </c>
      <c r="C13" s="3">
        <f>VLOOKUP(B13,'PM ACTIVIDAD'!A:B,2,FALSE)</f>
        <v>10</v>
      </c>
      <c r="D13" s="3" t="str">
        <f t="shared" si="0"/>
        <v>[GA] Otros procedimientos médicos</v>
      </c>
      <c r="E13" s="3">
        <v>12</v>
      </c>
      <c r="F13" s="3"/>
      <c r="G13" s="3"/>
    </row>
    <row r="14" spans="1:7" x14ac:dyDescent="0.25">
      <c r="A14" s="3" t="s">
        <v>35</v>
      </c>
      <c r="B14" s="3" t="s">
        <v>22</v>
      </c>
      <c r="C14" s="3">
        <f>VLOOKUP(B14,'PM ACTIVIDAD'!A:B,2,FALSE)</f>
        <v>7</v>
      </c>
      <c r="D14" s="3" t="str">
        <f t="shared" si="0"/>
        <v>[GA] Comité Clínico</v>
      </c>
      <c r="E14" s="3">
        <v>13</v>
      </c>
      <c r="F14" s="3"/>
      <c r="G14" s="3"/>
    </row>
    <row r="15" spans="1:7" x14ac:dyDescent="0.25">
      <c r="A15" s="3" t="s">
        <v>35</v>
      </c>
      <c r="B15" s="3" t="s">
        <v>28</v>
      </c>
      <c r="C15" s="3">
        <f>VLOOKUP(B15,'PM ACTIVIDAD'!A:B,2,FALSE)</f>
        <v>12</v>
      </c>
      <c r="D15" s="3" t="str">
        <f t="shared" si="0"/>
        <v>[GA] Interconsulta en sala presencial</v>
      </c>
      <c r="E15" s="3">
        <v>14</v>
      </c>
      <c r="F15" s="3">
        <v>3</v>
      </c>
      <c r="G15" s="3"/>
    </row>
    <row r="16" spans="1:7" x14ac:dyDescent="0.25">
      <c r="A16" s="3" t="s">
        <v>35</v>
      </c>
      <c r="B16" s="3" t="s">
        <v>29</v>
      </c>
      <c r="C16" s="3">
        <f>VLOOKUP(B16,'PM ACTIVIDAD'!A:B,2,FALSE)</f>
        <v>13</v>
      </c>
      <c r="D16" s="3" t="str">
        <f t="shared" si="0"/>
        <v>[GA] Otras Actividades Clínicas</v>
      </c>
      <c r="E16" s="3">
        <v>15</v>
      </c>
      <c r="F16" s="3"/>
      <c r="G16" s="3"/>
    </row>
    <row r="17" spans="1:7" x14ac:dyDescent="0.25">
      <c r="A17" s="3" t="s">
        <v>35</v>
      </c>
      <c r="B17" s="3" t="s">
        <v>30</v>
      </c>
      <c r="C17" s="3">
        <f>VLOOKUP(B17,'PM ACTIVIDAD'!A:B,2,FALSE)</f>
        <v>14</v>
      </c>
      <c r="D17" s="3" t="str">
        <f t="shared" si="0"/>
        <v>[GA] Reunión Clínica</v>
      </c>
      <c r="E17" s="3">
        <v>16</v>
      </c>
      <c r="F17" s="3"/>
      <c r="G17" s="3"/>
    </row>
    <row r="18" spans="1:7" x14ac:dyDescent="0.25">
      <c r="A18" s="3" t="s">
        <v>35</v>
      </c>
      <c r="B18" s="3" t="s">
        <v>31</v>
      </c>
      <c r="C18" s="3">
        <f>VLOOKUP(B18,'PM ACTIVIDAD'!A:B,2,FALSE)</f>
        <v>15</v>
      </c>
      <c r="D18" s="3" t="str">
        <f t="shared" si="0"/>
        <v>[GA] Visita a sala Hospitalizado</v>
      </c>
      <c r="E18" s="3">
        <v>17</v>
      </c>
      <c r="F18" s="3"/>
      <c r="G18" s="3"/>
    </row>
    <row r="19" spans="1:7" x14ac:dyDescent="0.25">
      <c r="A19" s="3" t="s">
        <v>35</v>
      </c>
      <c r="B19" s="3" t="s">
        <v>40</v>
      </c>
      <c r="C19" s="3">
        <f>VLOOKUP(B19,'PM ACTIVIDAD'!A:B,2,FALSE)</f>
        <v>18</v>
      </c>
      <c r="D19" s="3" t="str">
        <f t="shared" si="0"/>
        <v>[GA] Docencia e Investigación</v>
      </c>
      <c r="E19" s="3">
        <v>18</v>
      </c>
      <c r="F19" s="3"/>
      <c r="G19" s="3"/>
    </row>
    <row r="20" spans="1:7" x14ac:dyDescent="0.25">
      <c r="A20" s="3" t="s">
        <v>36</v>
      </c>
      <c r="B20" s="3" t="s">
        <v>7</v>
      </c>
      <c r="C20" s="3">
        <f>VLOOKUP(B20,'PM ACTIVIDAD'!A:B,2,FALSE)</f>
        <v>1</v>
      </c>
      <c r="D20" s="3" t="str">
        <f t="shared" ref="D20:D23" si="1">RIGHT(A20,4)&amp;" "&amp;B20</f>
        <v>[MI] Consulta nueva</v>
      </c>
      <c r="E20" s="3">
        <v>19</v>
      </c>
      <c r="F20" s="3"/>
      <c r="G20" s="3"/>
    </row>
    <row r="21" spans="1:7" x14ac:dyDescent="0.25">
      <c r="A21" s="3" t="s">
        <v>36</v>
      </c>
      <c r="B21" s="3" t="s">
        <v>66</v>
      </c>
      <c r="C21" s="3">
        <f>VLOOKUP(B21,'PM ACTIVIDAD'!A:B,2,FALSE)</f>
        <v>2</v>
      </c>
      <c r="D21" s="3" t="str">
        <f t="shared" si="1"/>
        <v>[MI] Consulta nueva+docencia</v>
      </c>
      <c r="E21" s="3">
        <v>20</v>
      </c>
      <c r="F21" s="3"/>
      <c r="G21" s="3"/>
    </row>
    <row r="22" spans="1:7" x14ac:dyDescent="0.25">
      <c r="A22" s="3" t="s">
        <v>36</v>
      </c>
      <c r="B22" s="3" t="s">
        <v>8</v>
      </c>
      <c r="C22" s="3">
        <f>VLOOKUP(B22,'PM ACTIVIDAD'!A:B,2,FALSE)</f>
        <v>3</v>
      </c>
      <c r="D22" s="3" t="str">
        <f t="shared" si="1"/>
        <v>[MI] Consulta control</v>
      </c>
      <c r="E22" s="3">
        <v>21</v>
      </c>
      <c r="F22" s="3"/>
      <c r="G22" s="3"/>
    </row>
    <row r="23" spans="1:7" x14ac:dyDescent="0.25">
      <c r="A23" s="3" t="s">
        <v>36</v>
      </c>
      <c r="B23" s="3" t="s">
        <v>53</v>
      </c>
      <c r="C23" s="3">
        <f>VLOOKUP(B23,'PM ACTIVIDAD'!A:B,2,FALSE)</f>
        <v>4</v>
      </c>
      <c r="D23" s="3" t="str">
        <f t="shared" si="1"/>
        <v>[MI] Consulta control docencia</v>
      </c>
      <c r="E23" s="3">
        <v>22</v>
      </c>
      <c r="F23" s="3"/>
      <c r="G23" s="3"/>
    </row>
    <row r="24" spans="1:7" x14ac:dyDescent="0.25">
      <c r="A24" s="3" t="s">
        <v>51</v>
      </c>
      <c r="B24" s="3" t="s">
        <v>32</v>
      </c>
      <c r="C24" s="3">
        <f>VLOOKUP(B24,'PM ACTIVIDAD'!A:B,2,FALSE)</f>
        <v>16</v>
      </c>
      <c r="D24" s="3" t="str">
        <f t="shared" ref="D24:D25" si="2">B24</f>
        <v>Gestión Organizacional (Administrativo/ Jefatura)</v>
      </c>
      <c r="E24" s="3">
        <v>23</v>
      </c>
      <c r="F24" s="3"/>
      <c r="G24" s="3"/>
    </row>
    <row r="25" spans="1:7" x14ac:dyDescent="0.25">
      <c r="A25" s="3" t="s">
        <v>51</v>
      </c>
      <c r="B25" s="3" t="s">
        <v>6</v>
      </c>
      <c r="C25" s="3">
        <f>VLOOKUP(B25,'PM ACTIVIDAD'!A:B,2,FALSE)</f>
        <v>17</v>
      </c>
      <c r="D25" s="3" t="str">
        <f t="shared" si="2"/>
        <v>Colación</v>
      </c>
      <c r="E25" s="3">
        <v>24</v>
      </c>
      <c r="F25" s="3"/>
      <c r="G25" s="3"/>
    </row>
  </sheetData>
  <autoFilter ref="A1:G25" xr:uid="{00000000-0001-0000-0200-000000000000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1:H33"/>
  <sheetViews>
    <sheetView workbookViewId="0"/>
  </sheetViews>
  <sheetFormatPr baseColWidth="10" defaultRowHeight="15" x14ac:dyDescent="0.25"/>
  <cols>
    <col min="1" max="1" width="5" customWidth="1"/>
    <col min="4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/>
    <row r="3" spans="2:8" x14ac:dyDescent="0.25">
      <c r="B3" t="s">
        <v>15</v>
      </c>
      <c r="C3" t="s">
        <v>37</v>
      </c>
      <c r="E3" s="8" t="s">
        <v>17</v>
      </c>
      <c r="F3" s="1">
        <f>SUMIF(Personal!A:A,'Ficha Programación'!C4,Personal!D:D)</f>
        <v>0</v>
      </c>
    </row>
    <row r="4" spans="2:8" x14ac:dyDescent="0.25">
      <c r="B4" t="s">
        <v>16</v>
      </c>
      <c r="C4" s="1">
        <f>SUMIF(Personal!B:B,'Ficha Programación'!C3,Personal!A:A)</f>
        <v>0</v>
      </c>
      <c r="E4" s="8" t="s">
        <v>18</v>
      </c>
      <c r="F4" s="1">
        <f>COUNTA(D8:H33)*0.5</f>
        <v>0</v>
      </c>
    </row>
    <row r="5" spans="2:8" x14ac:dyDescent="0.25">
      <c r="B5" t="s">
        <v>19</v>
      </c>
      <c r="C5" t="str">
        <f>IFERROR(VLOOKUP(C4,Personal!A:C,3,FALSE),"-")</f>
        <v>-</v>
      </c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4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3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3"/>
      <c r="H9" s="3"/>
    </row>
    <row r="10" spans="2:8" x14ac:dyDescent="0.25">
      <c r="B10" s="6">
        <v>0.33333333333333298</v>
      </c>
      <c r="C10" s="6">
        <v>0.35416666666666702</v>
      </c>
      <c r="D10" s="3"/>
      <c r="E10" s="3"/>
      <c r="F10" s="3"/>
      <c r="G10" s="3"/>
      <c r="H10" s="3"/>
    </row>
    <row r="11" spans="2:8" x14ac:dyDescent="0.25">
      <c r="B11" s="6">
        <v>0.35416666666666702</v>
      </c>
      <c r="C11" s="6">
        <v>0.375</v>
      </c>
      <c r="D11" s="3"/>
      <c r="E11" s="3"/>
      <c r="F11" s="3"/>
      <c r="G11" s="3"/>
      <c r="H11" s="3"/>
    </row>
    <row r="12" spans="2:8" x14ac:dyDescent="0.25">
      <c r="B12" s="6">
        <v>0.375</v>
      </c>
      <c r="C12" s="6">
        <v>0.39583333333333298</v>
      </c>
      <c r="D12" s="3"/>
      <c r="E12" s="3"/>
      <c r="F12" s="3"/>
      <c r="G12" s="3"/>
      <c r="H12" s="3"/>
    </row>
    <row r="13" spans="2:8" x14ac:dyDescent="0.25">
      <c r="B13" s="6">
        <v>0.39583333333333398</v>
      </c>
      <c r="C13" s="6">
        <v>0.41666666666666702</v>
      </c>
      <c r="D13" s="3"/>
      <c r="E13" s="3"/>
      <c r="F13" s="3"/>
      <c r="G13" s="3"/>
      <c r="H13" s="3"/>
    </row>
    <row r="14" spans="2:8" x14ac:dyDescent="0.25">
      <c r="B14" s="6">
        <v>0.41666666666666702</v>
      </c>
      <c r="C14" s="6">
        <v>0.4375</v>
      </c>
      <c r="D14" s="3"/>
      <c r="E14" s="3"/>
      <c r="F14" s="3"/>
      <c r="G14" s="3"/>
      <c r="H14" s="3"/>
    </row>
    <row r="15" spans="2:8" x14ac:dyDescent="0.25">
      <c r="B15" s="6">
        <v>0.4375</v>
      </c>
      <c r="C15" s="6">
        <v>0.45833333333333298</v>
      </c>
      <c r="D15" s="3"/>
      <c r="E15" s="3"/>
      <c r="F15" s="3"/>
      <c r="G15" s="3"/>
      <c r="H15" s="3"/>
    </row>
    <row r="16" spans="2:8" x14ac:dyDescent="0.25">
      <c r="B16" s="6">
        <v>0.45833333333333398</v>
      </c>
      <c r="C16" s="6">
        <v>0.47916666666666702</v>
      </c>
      <c r="D16" s="3"/>
      <c r="E16" s="3"/>
      <c r="F16" s="3"/>
      <c r="G16" s="3"/>
      <c r="H16" s="3"/>
    </row>
    <row r="17" spans="2:8" x14ac:dyDescent="0.25">
      <c r="B17" s="6">
        <v>0.47916666666666702</v>
      </c>
      <c r="C17" s="6">
        <v>0.5</v>
      </c>
      <c r="D17" s="3"/>
      <c r="E17" s="3"/>
      <c r="F17" s="3"/>
      <c r="G17" s="3"/>
      <c r="H17" s="3"/>
    </row>
    <row r="18" spans="2:8" x14ac:dyDescent="0.25">
      <c r="B18" s="6">
        <v>0.5</v>
      </c>
      <c r="C18" s="6">
        <v>0.52083333333333304</v>
      </c>
      <c r="D18" s="3"/>
      <c r="E18" s="3"/>
      <c r="F18" s="3"/>
      <c r="G18" s="3"/>
      <c r="H18" s="3"/>
    </row>
    <row r="19" spans="2:8" x14ac:dyDescent="0.25">
      <c r="B19" s="6">
        <v>0.52083333333333304</v>
      </c>
      <c r="C19" s="6">
        <v>0.54166666666666596</v>
      </c>
      <c r="D19" s="3"/>
      <c r="E19" s="3"/>
      <c r="F19" s="3"/>
      <c r="G19" s="3"/>
      <c r="H19" s="3"/>
    </row>
    <row r="20" spans="2:8" x14ac:dyDescent="0.25">
      <c r="B20" s="6">
        <v>0.54166666666666696</v>
      </c>
      <c r="C20" s="6">
        <v>0.5625</v>
      </c>
      <c r="D20" s="3"/>
      <c r="E20" s="3"/>
      <c r="F20" s="3"/>
      <c r="G20" s="3"/>
      <c r="H20" s="3"/>
    </row>
    <row r="21" spans="2:8" x14ac:dyDescent="0.25">
      <c r="B21" s="6">
        <v>0.5625</v>
      </c>
      <c r="C21" s="6">
        <v>0.58333333333333304</v>
      </c>
      <c r="D21" s="3"/>
      <c r="E21" s="3"/>
      <c r="F21" s="3"/>
      <c r="G21" s="3"/>
      <c r="H21" s="3"/>
    </row>
    <row r="22" spans="2:8" x14ac:dyDescent="0.25">
      <c r="B22" s="6">
        <v>0.58333333333333304</v>
      </c>
      <c r="C22" s="6">
        <v>0.60416666666666596</v>
      </c>
      <c r="D22" s="3"/>
      <c r="E22" s="3"/>
      <c r="F22" s="3"/>
      <c r="G22" s="3"/>
      <c r="H22" s="3"/>
    </row>
    <row r="23" spans="2:8" x14ac:dyDescent="0.25">
      <c r="B23" s="6">
        <v>0.60416666666666696</v>
      </c>
      <c r="C23" s="6">
        <v>0.625</v>
      </c>
      <c r="D23" s="3"/>
      <c r="E23" s="3"/>
      <c r="F23" s="3"/>
      <c r="G23" s="3"/>
      <c r="H23" s="3"/>
    </row>
    <row r="24" spans="2:8" x14ac:dyDescent="0.25">
      <c r="B24" s="6">
        <v>0.625</v>
      </c>
      <c r="C24" s="6">
        <v>0.64583333333333304</v>
      </c>
      <c r="D24" s="3"/>
      <c r="E24" s="3"/>
      <c r="F24" s="3"/>
      <c r="G24" s="3"/>
      <c r="H24" s="3"/>
    </row>
    <row r="25" spans="2:8" x14ac:dyDescent="0.25">
      <c r="B25" s="6">
        <v>0.64583333333333304</v>
      </c>
      <c r="C25" s="6">
        <v>0.66666666666666596</v>
      </c>
      <c r="D25" s="3"/>
      <c r="E25" s="3"/>
      <c r="F25" s="3"/>
      <c r="G25" s="3"/>
      <c r="H25" s="3"/>
    </row>
    <row r="26" spans="2:8" x14ac:dyDescent="0.25">
      <c r="B26" s="6">
        <v>0.66666666666666696</v>
      </c>
      <c r="C26" s="6">
        <v>0.6875</v>
      </c>
      <c r="D26" s="3"/>
      <c r="E26" s="3"/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3"/>
      <c r="E27" s="3"/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400-000001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  <pageSetUpPr fitToPage="1"/>
  </sheetPr>
  <dimension ref="B1:H33"/>
  <sheetViews>
    <sheetView showGridLines="0" tabSelected="1" workbookViewId="0"/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71</v>
      </c>
      <c r="E3" s="17" t="s">
        <v>17</v>
      </c>
      <c r="F3" s="1">
        <f>SUMIF(Personal!A:A,OF!C4,Personal!D:D)</f>
        <v>22</v>
      </c>
      <c r="G3" s="19"/>
    </row>
    <row r="4" spans="2:8" x14ac:dyDescent="0.25">
      <c r="B4" t="s">
        <v>16</v>
      </c>
      <c r="C4" s="1">
        <f>SUMIF(Personal!B:B,OF!C3,Personal!A:A)</f>
        <v>123456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F5" t="s">
        <v>82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 t="s">
        <v>54</v>
      </c>
      <c r="E10" s="16" t="s">
        <v>55</v>
      </c>
      <c r="F10" s="3"/>
      <c r="G10" s="22" t="s">
        <v>55</v>
      </c>
      <c r="H10" s="3"/>
    </row>
    <row r="11" spans="2:8" x14ac:dyDescent="0.25">
      <c r="B11" s="6">
        <v>0.35416666666666702</v>
      </c>
      <c r="C11" s="6">
        <v>0.375</v>
      </c>
      <c r="D11" s="3" t="s">
        <v>54</v>
      </c>
      <c r="E11" s="16" t="s">
        <v>55</v>
      </c>
      <c r="F11" s="3"/>
      <c r="G11" s="22" t="s">
        <v>55</v>
      </c>
      <c r="H11" s="3"/>
    </row>
    <row r="12" spans="2:8" x14ac:dyDescent="0.25">
      <c r="B12" s="6">
        <v>0.375</v>
      </c>
      <c r="C12" s="6">
        <v>0.39583333333333298</v>
      </c>
      <c r="D12" s="3" t="s">
        <v>54</v>
      </c>
      <c r="E12" s="3" t="s">
        <v>58</v>
      </c>
      <c r="F12" s="3"/>
      <c r="G12" s="10" t="s">
        <v>58</v>
      </c>
      <c r="H12" s="3"/>
    </row>
    <row r="13" spans="2:8" x14ac:dyDescent="0.25">
      <c r="B13" s="6">
        <v>0.39583333333333398</v>
      </c>
      <c r="C13" s="6">
        <v>0.41666666666666702</v>
      </c>
      <c r="D13" s="3" t="s">
        <v>54</v>
      </c>
      <c r="E13" s="3" t="s">
        <v>58</v>
      </c>
      <c r="F13" s="3"/>
      <c r="G13" s="10" t="s">
        <v>58</v>
      </c>
      <c r="H13" s="3"/>
    </row>
    <row r="14" spans="2:8" x14ac:dyDescent="0.25">
      <c r="B14" s="6">
        <v>0.41666666666666702</v>
      </c>
      <c r="C14" s="6">
        <v>0.4375</v>
      </c>
      <c r="D14" s="16" t="s">
        <v>55</v>
      </c>
      <c r="E14" s="3" t="s">
        <v>58</v>
      </c>
      <c r="F14" s="3"/>
      <c r="G14" s="10" t="s">
        <v>58</v>
      </c>
      <c r="H14" s="3"/>
    </row>
    <row r="15" spans="2:8" x14ac:dyDescent="0.25">
      <c r="B15" s="6">
        <v>0.4375</v>
      </c>
      <c r="C15" s="6">
        <v>0.45833333333333298</v>
      </c>
      <c r="D15" s="16" t="s">
        <v>55</v>
      </c>
      <c r="E15" s="3" t="s">
        <v>58</v>
      </c>
      <c r="F15" s="3"/>
      <c r="G15" s="10" t="s">
        <v>58</v>
      </c>
      <c r="H15" s="3"/>
    </row>
    <row r="16" spans="2:8" x14ac:dyDescent="0.25">
      <c r="B16" s="6">
        <v>0.45833333333333398</v>
      </c>
      <c r="C16" s="6">
        <v>0.47916666666666702</v>
      </c>
      <c r="D16" s="16" t="s">
        <v>55</v>
      </c>
      <c r="E16" s="3" t="s">
        <v>58</v>
      </c>
      <c r="F16" s="3"/>
      <c r="G16" s="10" t="s">
        <v>58</v>
      </c>
      <c r="H16" s="3"/>
    </row>
    <row r="17" spans="2:8" x14ac:dyDescent="0.25">
      <c r="B17" s="6">
        <v>0.47916666666666702</v>
      </c>
      <c r="C17" s="6">
        <v>0.5</v>
      </c>
      <c r="D17" s="16" t="s">
        <v>55</v>
      </c>
      <c r="E17" s="3" t="s">
        <v>58</v>
      </c>
      <c r="F17" s="3"/>
      <c r="G17" s="22" t="s">
        <v>55</v>
      </c>
      <c r="H17" s="3"/>
    </row>
    <row r="18" spans="2:8" x14ac:dyDescent="0.25">
      <c r="B18" s="6">
        <v>0.5</v>
      </c>
      <c r="C18" s="6">
        <v>0.52083333333333304</v>
      </c>
      <c r="D18" s="16" t="s">
        <v>55</v>
      </c>
      <c r="E18" s="16" t="s">
        <v>55</v>
      </c>
      <c r="F18" s="3"/>
      <c r="G18" s="22" t="s">
        <v>55</v>
      </c>
      <c r="H18" s="3"/>
    </row>
    <row r="19" spans="2:8" x14ac:dyDescent="0.25">
      <c r="B19" s="6">
        <v>0.52083333333333304</v>
      </c>
      <c r="C19" s="6">
        <v>0.54166666666666596</v>
      </c>
      <c r="D19" s="16" t="s">
        <v>55</v>
      </c>
      <c r="E19" s="16" t="s">
        <v>55</v>
      </c>
      <c r="F19" s="3"/>
      <c r="G19" s="22" t="s">
        <v>55</v>
      </c>
      <c r="H19" s="3"/>
    </row>
    <row r="20" spans="2:8" x14ac:dyDescent="0.25">
      <c r="B20" s="6">
        <v>0.54166666666666696</v>
      </c>
      <c r="C20" s="6">
        <v>0.5625</v>
      </c>
      <c r="D20" s="16" t="s">
        <v>55</v>
      </c>
      <c r="E20" s="16" t="s">
        <v>55</v>
      </c>
      <c r="F20" s="3"/>
      <c r="G20" s="22" t="s">
        <v>55</v>
      </c>
      <c r="H20" s="3"/>
    </row>
    <row r="21" spans="2:8" x14ac:dyDescent="0.25">
      <c r="B21" s="6">
        <v>0.5625</v>
      </c>
      <c r="C21" s="6">
        <v>0.58333333333333304</v>
      </c>
      <c r="D21" s="16" t="s">
        <v>55</v>
      </c>
      <c r="E21" s="16" t="s">
        <v>55</v>
      </c>
      <c r="F21" s="3"/>
      <c r="G21" s="22" t="s">
        <v>55</v>
      </c>
      <c r="H21" s="3"/>
    </row>
    <row r="22" spans="2:8" x14ac:dyDescent="0.25">
      <c r="B22" s="6">
        <v>0.58333333333333304</v>
      </c>
      <c r="C22" s="6">
        <v>0.60416666666666596</v>
      </c>
      <c r="D22" s="3" t="s">
        <v>59</v>
      </c>
      <c r="E22" s="3"/>
      <c r="F22" s="3"/>
      <c r="G22" s="3" t="s">
        <v>58</v>
      </c>
      <c r="H22" s="3"/>
    </row>
    <row r="23" spans="2:8" x14ac:dyDescent="0.25">
      <c r="B23" s="6">
        <v>0.60416666666666696</v>
      </c>
      <c r="C23" s="6">
        <v>0.625</v>
      </c>
      <c r="D23" s="3" t="s">
        <v>59</v>
      </c>
      <c r="E23" s="3"/>
      <c r="F23" s="3"/>
      <c r="G23" s="3" t="s">
        <v>58</v>
      </c>
      <c r="H23" s="3"/>
    </row>
    <row r="24" spans="2:8" x14ac:dyDescent="0.25">
      <c r="B24" s="6">
        <v>0.625</v>
      </c>
      <c r="C24" s="6">
        <v>0.64583333333333304</v>
      </c>
      <c r="D24" s="3" t="s">
        <v>60</v>
      </c>
      <c r="E24" s="3"/>
      <c r="F24" s="3"/>
      <c r="G24" s="3" t="s">
        <v>58</v>
      </c>
      <c r="H24" s="3"/>
    </row>
    <row r="25" spans="2:8" x14ac:dyDescent="0.25">
      <c r="B25" s="6">
        <v>0.64583333333333304</v>
      </c>
      <c r="C25" s="6">
        <v>0.66666666666666596</v>
      </c>
      <c r="D25" s="3" t="s">
        <v>60</v>
      </c>
      <c r="E25" s="3"/>
      <c r="F25" s="3"/>
      <c r="G25" s="3" t="s">
        <v>58</v>
      </c>
      <c r="H25" s="3"/>
    </row>
    <row r="26" spans="2:8" x14ac:dyDescent="0.25">
      <c r="B26" s="6">
        <v>0.66666666666666696</v>
      </c>
      <c r="C26" s="6">
        <v>0.6875</v>
      </c>
      <c r="D26" s="3"/>
      <c r="E26" s="3"/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3"/>
      <c r="E27" s="3"/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1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800-000000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B1:H33"/>
  <sheetViews>
    <sheetView showGridLines="0" workbookViewId="0">
      <selection activeCell="G10" sqref="G10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72</v>
      </c>
      <c r="E3" s="17" t="s">
        <v>17</v>
      </c>
      <c r="F3" s="1">
        <f>SUMIF(Personal!A:A,JH!C4,Personal!D:D)</f>
        <v>33</v>
      </c>
      <c r="G3" s="19"/>
    </row>
    <row r="4" spans="2:8" x14ac:dyDescent="0.25">
      <c r="B4" t="s">
        <v>16</v>
      </c>
      <c r="C4" s="1">
        <f>SUMIF(Personal!B:B,JH!C3,Personal!A:A)</f>
        <v>678910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/>
      <c r="E10" s="16" t="s">
        <v>55</v>
      </c>
      <c r="F10" s="3"/>
      <c r="G10" s="10" t="s">
        <v>62</v>
      </c>
      <c r="H10" s="3"/>
    </row>
    <row r="11" spans="2:8" x14ac:dyDescent="0.25">
      <c r="B11" s="6">
        <v>0.35416666666666702</v>
      </c>
      <c r="C11" s="6">
        <v>0.375</v>
      </c>
      <c r="D11" s="3" t="s">
        <v>59</v>
      </c>
      <c r="E11" s="16" t="s">
        <v>55</v>
      </c>
      <c r="F11" s="3"/>
      <c r="G11" s="10" t="s">
        <v>62</v>
      </c>
      <c r="H11" s="3"/>
    </row>
    <row r="12" spans="2:8" x14ac:dyDescent="0.25">
      <c r="B12" s="6">
        <v>0.375</v>
      </c>
      <c r="C12" s="6">
        <v>0.39583333333333298</v>
      </c>
      <c r="D12" s="3" t="s">
        <v>59</v>
      </c>
      <c r="E12" s="3" t="s">
        <v>59</v>
      </c>
      <c r="F12" s="3"/>
      <c r="G12" s="22" t="s">
        <v>55</v>
      </c>
      <c r="H12" s="3"/>
    </row>
    <row r="13" spans="2:8" x14ac:dyDescent="0.25">
      <c r="B13" s="6">
        <v>0.39583333333333398</v>
      </c>
      <c r="C13" s="6">
        <v>0.41666666666666702</v>
      </c>
      <c r="D13" s="3" t="s">
        <v>59</v>
      </c>
      <c r="E13" s="3" t="s">
        <v>59</v>
      </c>
      <c r="F13" s="3"/>
      <c r="G13" s="10" t="s">
        <v>54</v>
      </c>
      <c r="H13" s="3"/>
    </row>
    <row r="14" spans="2:8" x14ac:dyDescent="0.25">
      <c r="B14" s="6">
        <v>0.41666666666666702</v>
      </c>
      <c r="C14" s="6">
        <v>0.4375</v>
      </c>
      <c r="D14" s="3" t="s">
        <v>59</v>
      </c>
      <c r="E14" s="3" t="s">
        <v>59</v>
      </c>
      <c r="F14" s="3"/>
      <c r="G14" s="10" t="s">
        <v>54</v>
      </c>
      <c r="H14" s="3"/>
    </row>
    <row r="15" spans="2:8" x14ac:dyDescent="0.25">
      <c r="B15" s="6">
        <v>0.4375</v>
      </c>
      <c r="C15" s="6">
        <v>0.45833333333333298</v>
      </c>
      <c r="D15" s="3" t="s">
        <v>59</v>
      </c>
      <c r="E15" s="3" t="s">
        <v>60</v>
      </c>
      <c r="F15" s="3"/>
      <c r="G15" s="10" t="s">
        <v>54</v>
      </c>
      <c r="H15" s="3"/>
    </row>
    <row r="16" spans="2:8" x14ac:dyDescent="0.25">
      <c r="B16" s="6">
        <v>0.45833333333333398</v>
      </c>
      <c r="C16" s="6">
        <v>0.47916666666666702</v>
      </c>
      <c r="D16" s="3" t="s">
        <v>60</v>
      </c>
      <c r="E16" s="3" t="s">
        <v>60</v>
      </c>
      <c r="F16" s="3"/>
      <c r="G16" s="10" t="s">
        <v>54</v>
      </c>
      <c r="H16" s="3"/>
    </row>
    <row r="17" spans="2:8" x14ac:dyDescent="0.25">
      <c r="B17" s="6">
        <v>0.47916666666666702</v>
      </c>
      <c r="C17" s="6">
        <v>0.5</v>
      </c>
      <c r="D17" s="3" t="s">
        <v>60</v>
      </c>
      <c r="E17" s="3" t="s">
        <v>60</v>
      </c>
      <c r="F17" s="3"/>
      <c r="G17" s="10" t="s">
        <v>54</v>
      </c>
      <c r="H17" s="3"/>
    </row>
    <row r="18" spans="2:8" x14ac:dyDescent="0.25">
      <c r="B18" s="6">
        <v>0.5</v>
      </c>
      <c r="C18" s="6">
        <v>0.52083333333333304</v>
      </c>
      <c r="D18" s="16" t="s">
        <v>55</v>
      </c>
      <c r="E18" s="3" t="s">
        <v>60</v>
      </c>
      <c r="F18" s="3"/>
      <c r="G18" s="10" t="s">
        <v>54</v>
      </c>
      <c r="H18" s="3"/>
    </row>
    <row r="19" spans="2:8" x14ac:dyDescent="0.25">
      <c r="B19" s="6">
        <v>0.52083333333333304</v>
      </c>
      <c r="C19" s="6">
        <v>0.54166666666666596</v>
      </c>
      <c r="D19" s="16" t="s">
        <v>55</v>
      </c>
      <c r="E19" s="16" t="s">
        <v>55</v>
      </c>
      <c r="F19" s="3"/>
      <c r="G19" s="10"/>
      <c r="H19" s="3"/>
    </row>
    <row r="20" spans="2:8" x14ac:dyDescent="0.25">
      <c r="B20" s="6">
        <v>0.54166666666666696</v>
      </c>
      <c r="C20" s="6">
        <v>0.5625</v>
      </c>
      <c r="D20" s="3"/>
      <c r="E20" s="3"/>
      <c r="F20" s="3"/>
      <c r="G20" s="10"/>
      <c r="H20" s="3"/>
    </row>
    <row r="21" spans="2:8" x14ac:dyDescent="0.25">
      <c r="B21" s="6">
        <v>0.5625</v>
      </c>
      <c r="C21" s="6">
        <v>0.58333333333333304</v>
      </c>
      <c r="D21" s="16" t="s">
        <v>55</v>
      </c>
      <c r="E21" s="16" t="s">
        <v>55</v>
      </c>
      <c r="F21" s="3"/>
      <c r="G21" s="22" t="s">
        <v>62</v>
      </c>
      <c r="H21" s="3"/>
    </row>
    <row r="22" spans="2:8" x14ac:dyDescent="0.25">
      <c r="B22" s="6">
        <v>0.58333333333333304</v>
      </c>
      <c r="C22" s="6">
        <v>0.60416666666666596</v>
      </c>
      <c r="D22" s="16" t="s">
        <v>55</v>
      </c>
      <c r="E22" s="3" t="s">
        <v>54</v>
      </c>
      <c r="F22" s="3"/>
      <c r="G22" s="16" t="s">
        <v>62</v>
      </c>
      <c r="H22" s="3"/>
    </row>
    <row r="23" spans="2:8" x14ac:dyDescent="0.25">
      <c r="B23" s="6">
        <v>0.60416666666666696</v>
      </c>
      <c r="C23" s="6">
        <v>0.625</v>
      </c>
      <c r="D23" s="3" t="s">
        <v>54</v>
      </c>
      <c r="E23" s="3" t="s">
        <v>54</v>
      </c>
      <c r="F23" s="3"/>
      <c r="G23" s="3"/>
      <c r="H23" s="3"/>
    </row>
    <row r="24" spans="2:8" x14ac:dyDescent="0.25">
      <c r="B24" s="6">
        <v>0.625</v>
      </c>
      <c r="C24" s="6">
        <v>0.64583333333333304</v>
      </c>
      <c r="D24" s="3" t="s">
        <v>54</v>
      </c>
      <c r="E24" s="3" t="s">
        <v>54</v>
      </c>
      <c r="F24" s="3"/>
      <c r="G24" s="3"/>
      <c r="H24" s="3"/>
    </row>
    <row r="25" spans="2:8" x14ac:dyDescent="0.25">
      <c r="B25" s="6">
        <v>0.64583333333333304</v>
      </c>
      <c r="C25" s="6">
        <v>0.66666666666666596</v>
      </c>
      <c r="D25" s="3" t="s">
        <v>54</v>
      </c>
      <c r="E25" s="3" t="s">
        <v>54</v>
      </c>
      <c r="F25" s="3"/>
      <c r="G25" s="3"/>
      <c r="H25" s="3"/>
    </row>
    <row r="26" spans="2:8" x14ac:dyDescent="0.25">
      <c r="B26" s="6">
        <v>0.66666666666666696</v>
      </c>
      <c r="C26" s="6">
        <v>0.6875</v>
      </c>
      <c r="D26" s="3" t="s">
        <v>54</v>
      </c>
      <c r="E26" s="3"/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3" t="s">
        <v>54</v>
      </c>
      <c r="E27" s="3"/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 t="s">
        <v>54</v>
      </c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 t="s">
        <v>54</v>
      </c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900-000001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  <pageSetUpPr fitToPage="1"/>
  </sheetPr>
  <dimension ref="B1:H33"/>
  <sheetViews>
    <sheetView showGridLines="0" workbookViewId="0">
      <selection activeCell="B1" sqref="B1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73</v>
      </c>
      <c r="E3" s="17" t="s">
        <v>17</v>
      </c>
      <c r="F3" s="1">
        <f>SUMIF(Personal!A:A,VR!C4,Personal!D:D)</f>
        <v>22</v>
      </c>
      <c r="G3" s="19"/>
    </row>
    <row r="4" spans="2:8" x14ac:dyDescent="0.25">
      <c r="B4" t="s">
        <v>16</v>
      </c>
      <c r="C4" s="1">
        <f>SUMIF(Personal!B:B,VR!C3,Personal!A:A)</f>
        <v>321654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18" t="s">
        <v>55</v>
      </c>
      <c r="E10" s="3" t="s">
        <v>61</v>
      </c>
      <c r="F10" s="3" t="s">
        <v>54</v>
      </c>
      <c r="G10" s="10"/>
      <c r="H10" s="3"/>
    </row>
    <row r="11" spans="2:8" x14ac:dyDescent="0.25">
      <c r="B11" s="6">
        <v>0.35416666666666702</v>
      </c>
      <c r="C11" s="6">
        <v>0.375</v>
      </c>
      <c r="D11" s="3" t="s">
        <v>59</v>
      </c>
      <c r="E11" s="3" t="s">
        <v>61</v>
      </c>
      <c r="F11" s="3" t="s">
        <v>54</v>
      </c>
      <c r="G11" s="10"/>
      <c r="H11" s="3" t="s">
        <v>61</v>
      </c>
    </row>
    <row r="12" spans="2:8" x14ac:dyDescent="0.25">
      <c r="B12" s="6">
        <v>0.375</v>
      </c>
      <c r="C12" s="6">
        <v>0.39583333333333298</v>
      </c>
      <c r="D12" s="3" t="s">
        <v>59</v>
      </c>
      <c r="E12" s="3" t="s">
        <v>61</v>
      </c>
      <c r="F12" s="3" t="s">
        <v>54</v>
      </c>
      <c r="G12" s="10"/>
      <c r="H12" s="3" t="s">
        <v>61</v>
      </c>
    </row>
    <row r="13" spans="2:8" x14ac:dyDescent="0.25">
      <c r="B13" s="6">
        <v>0.39583333333333398</v>
      </c>
      <c r="C13" s="6">
        <v>0.41666666666666702</v>
      </c>
      <c r="D13" s="3" t="s">
        <v>59</v>
      </c>
      <c r="E13" s="3" t="s">
        <v>61</v>
      </c>
      <c r="F13" s="3" t="s">
        <v>54</v>
      </c>
      <c r="G13" s="10" t="s">
        <v>54</v>
      </c>
      <c r="H13" s="3" t="s">
        <v>61</v>
      </c>
    </row>
    <row r="14" spans="2:8" x14ac:dyDescent="0.25">
      <c r="B14" s="6">
        <v>0.41666666666666702</v>
      </c>
      <c r="C14" s="6">
        <v>0.4375</v>
      </c>
      <c r="D14" s="3" t="s">
        <v>59</v>
      </c>
      <c r="E14" s="3"/>
      <c r="F14" s="3" t="s">
        <v>54</v>
      </c>
      <c r="G14" s="10" t="s">
        <v>54</v>
      </c>
      <c r="H14" s="3" t="s">
        <v>61</v>
      </c>
    </row>
    <row r="15" spans="2:8" x14ac:dyDescent="0.25">
      <c r="B15" s="6">
        <v>0.4375</v>
      </c>
      <c r="C15" s="6">
        <v>0.45833333333333298</v>
      </c>
      <c r="D15" s="3" t="s">
        <v>60</v>
      </c>
      <c r="E15" s="3"/>
      <c r="F15" s="3" t="s">
        <v>54</v>
      </c>
      <c r="G15" s="10" t="s">
        <v>54</v>
      </c>
      <c r="H15" s="3"/>
    </row>
    <row r="16" spans="2:8" x14ac:dyDescent="0.25">
      <c r="B16" s="6">
        <v>0.45833333333333398</v>
      </c>
      <c r="C16" s="6">
        <v>0.47916666666666702</v>
      </c>
      <c r="D16" s="3" t="s">
        <v>60</v>
      </c>
      <c r="E16" s="3"/>
      <c r="F16" s="3" t="s">
        <v>54</v>
      </c>
      <c r="G16" s="10" t="s">
        <v>54</v>
      </c>
      <c r="H16" s="3"/>
    </row>
    <row r="17" spans="2:8" x14ac:dyDescent="0.25">
      <c r="B17" s="6">
        <v>0.47916666666666702</v>
      </c>
      <c r="C17" s="6">
        <v>0.5</v>
      </c>
      <c r="D17" s="3" t="s">
        <v>60</v>
      </c>
      <c r="E17" s="3"/>
      <c r="F17" s="3" t="s">
        <v>54</v>
      </c>
      <c r="G17" s="10" t="s">
        <v>54</v>
      </c>
      <c r="H17" s="3"/>
    </row>
    <row r="18" spans="2:8" x14ac:dyDescent="0.25">
      <c r="B18" s="6">
        <v>0.5</v>
      </c>
      <c r="C18" s="6">
        <v>0.52083333333333304</v>
      </c>
      <c r="D18" s="3" t="s">
        <v>60</v>
      </c>
      <c r="E18" s="3"/>
      <c r="F18" s="3"/>
      <c r="G18" s="10"/>
      <c r="H18" s="3"/>
    </row>
    <row r="19" spans="2:8" x14ac:dyDescent="0.25">
      <c r="B19" s="6">
        <v>0.52083333333333304</v>
      </c>
      <c r="C19" s="6">
        <v>0.54166666666666596</v>
      </c>
      <c r="D19" s="18" t="s">
        <v>55</v>
      </c>
      <c r="E19" s="3"/>
      <c r="F19" s="3"/>
      <c r="G19" s="10"/>
      <c r="H19" s="3"/>
    </row>
    <row r="20" spans="2:8" x14ac:dyDescent="0.25">
      <c r="B20" s="6">
        <v>0.54166666666666696</v>
      </c>
      <c r="C20" s="6">
        <v>0.5625</v>
      </c>
      <c r="D20" s="3"/>
      <c r="E20" s="3"/>
      <c r="F20" s="3"/>
      <c r="G20" s="10"/>
      <c r="H20" s="3"/>
    </row>
    <row r="21" spans="2:8" x14ac:dyDescent="0.25">
      <c r="B21" s="6">
        <v>0.5625</v>
      </c>
      <c r="C21" s="6">
        <v>0.58333333333333304</v>
      </c>
      <c r="D21" s="18" t="s">
        <v>55</v>
      </c>
      <c r="E21" s="3"/>
      <c r="F21" s="3"/>
      <c r="G21" s="10"/>
      <c r="H21" s="3"/>
    </row>
    <row r="22" spans="2:8" x14ac:dyDescent="0.25">
      <c r="B22" s="6">
        <v>0.58333333333333304</v>
      </c>
      <c r="C22" s="6">
        <v>0.60416666666666596</v>
      </c>
      <c r="D22" s="3" t="s">
        <v>54</v>
      </c>
      <c r="E22" s="3" t="s">
        <v>54</v>
      </c>
      <c r="F22" s="3"/>
      <c r="G22" s="3"/>
      <c r="H22" s="3"/>
    </row>
    <row r="23" spans="2:8" x14ac:dyDescent="0.25">
      <c r="B23" s="6">
        <v>0.60416666666666696</v>
      </c>
      <c r="C23" s="6">
        <v>0.625</v>
      </c>
      <c r="D23" s="3" t="s">
        <v>54</v>
      </c>
      <c r="E23" s="3" t="s">
        <v>54</v>
      </c>
      <c r="F23" s="3"/>
      <c r="G23" s="3"/>
      <c r="H23" s="3"/>
    </row>
    <row r="24" spans="2:8" x14ac:dyDescent="0.25">
      <c r="B24" s="6">
        <v>0.625</v>
      </c>
      <c r="C24" s="6">
        <v>0.64583333333333304</v>
      </c>
      <c r="D24" s="3" t="s">
        <v>54</v>
      </c>
      <c r="E24" s="3" t="s">
        <v>54</v>
      </c>
      <c r="F24" s="3"/>
      <c r="G24" s="3"/>
      <c r="H24" s="3"/>
    </row>
    <row r="25" spans="2:8" x14ac:dyDescent="0.25">
      <c r="B25" s="6">
        <v>0.64583333333333304</v>
      </c>
      <c r="C25" s="6">
        <v>0.66666666666666596</v>
      </c>
      <c r="D25" s="3" t="s">
        <v>54</v>
      </c>
      <c r="E25" s="3" t="s">
        <v>54</v>
      </c>
      <c r="F25" s="3"/>
      <c r="G25" s="3"/>
      <c r="H25" s="3"/>
    </row>
    <row r="26" spans="2:8" x14ac:dyDescent="0.25">
      <c r="B26" s="6">
        <v>0.66666666666666696</v>
      </c>
      <c r="C26" s="6">
        <v>0.6875</v>
      </c>
      <c r="D26" s="3" t="s">
        <v>54</v>
      </c>
      <c r="E26" s="3" t="s">
        <v>54</v>
      </c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18" t="s">
        <v>55</v>
      </c>
      <c r="E27" s="3" t="s">
        <v>54</v>
      </c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1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A00-000000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  <pageSetUpPr fitToPage="1"/>
  </sheetPr>
  <dimension ref="B1:H33"/>
  <sheetViews>
    <sheetView showGridLines="0" workbookViewId="0">
      <selection activeCell="F5" sqref="F5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74</v>
      </c>
      <c r="E3" s="17" t="s">
        <v>17</v>
      </c>
      <c r="F3" s="1">
        <f>SUMIF(Personal!A:A,EG!C4,Personal!D:D)</f>
        <v>22</v>
      </c>
      <c r="G3" s="19"/>
    </row>
    <row r="4" spans="2:8" x14ac:dyDescent="0.25">
      <c r="B4" t="s">
        <v>16</v>
      </c>
      <c r="C4" s="1">
        <f>SUMIF(Personal!B:B,EG!C3,Personal!A:A)</f>
        <v>987321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15"/>
      <c r="E10" s="18" t="s">
        <v>55</v>
      </c>
      <c r="F10" s="15"/>
      <c r="G10" s="21" t="s">
        <v>55</v>
      </c>
      <c r="H10" s="3"/>
    </row>
    <row r="11" spans="2:8" x14ac:dyDescent="0.25">
      <c r="B11" s="6">
        <v>0.35416666666666702</v>
      </c>
      <c r="C11" s="6">
        <v>0.375</v>
      </c>
      <c r="D11" s="15"/>
      <c r="E11" s="18" t="s">
        <v>55</v>
      </c>
      <c r="F11" s="15"/>
      <c r="G11" s="21" t="s">
        <v>55</v>
      </c>
      <c r="H11" s="15"/>
    </row>
    <row r="12" spans="2:8" x14ac:dyDescent="0.25">
      <c r="B12" s="6">
        <v>0.375</v>
      </c>
      <c r="C12" s="6">
        <v>0.39583333333333298</v>
      </c>
      <c r="D12" s="15"/>
      <c r="E12" s="18" t="s">
        <v>55</v>
      </c>
      <c r="F12" s="15"/>
      <c r="G12" s="21" t="s">
        <v>55</v>
      </c>
      <c r="H12" s="15"/>
    </row>
    <row r="13" spans="2:8" x14ac:dyDescent="0.25">
      <c r="B13" s="6">
        <v>0.39583333333333398</v>
      </c>
      <c r="C13" s="6">
        <v>0.41666666666666702</v>
      </c>
      <c r="D13" s="15"/>
      <c r="E13" s="3" t="s">
        <v>54</v>
      </c>
      <c r="F13" s="15"/>
      <c r="G13" s="10" t="s">
        <v>56</v>
      </c>
      <c r="H13" s="15"/>
    </row>
    <row r="14" spans="2:8" x14ac:dyDescent="0.25">
      <c r="B14" s="6">
        <v>0.41666666666666702</v>
      </c>
      <c r="C14" s="6">
        <v>0.4375</v>
      </c>
      <c r="D14" s="15"/>
      <c r="E14" s="3" t="s">
        <v>54</v>
      </c>
      <c r="F14" s="15"/>
      <c r="G14" s="10" t="s">
        <v>56</v>
      </c>
      <c r="H14" s="15"/>
    </row>
    <row r="15" spans="2:8" x14ac:dyDescent="0.25">
      <c r="B15" s="6">
        <v>0.4375</v>
      </c>
      <c r="C15" s="6">
        <v>0.45833333333333298</v>
      </c>
      <c r="D15" s="15"/>
      <c r="E15" s="3" t="s">
        <v>54</v>
      </c>
      <c r="F15" s="15"/>
      <c r="G15" s="10" t="s">
        <v>54</v>
      </c>
      <c r="H15" s="15"/>
    </row>
    <row r="16" spans="2:8" x14ac:dyDescent="0.25">
      <c r="B16" s="6">
        <v>0.45833333333333398</v>
      </c>
      <c r="C16" s="6">
        <v>0.47916666666666702</v>
      </c>
      <c r="D16" s="15"/>
      <c r="E16" s="3" t="s">
        <v>54</v>
      </c>
      <c r="F16" s="15"/>
      <c r="G16" s="10" t="s">
        <v>54</v>
      </c>
      <c r="H16" s="15"/>
    </row>
    <row r="17" spans="2:8" x14ac:dyDescent="0.25">
      <c r="B17" s="6">
        <v>0.47916666666666702</v>
      </c>
      <c r="C17" s="6">
        <v>0.5</v>
      </c>
      <c r="D17" s="15"/>
      <c r="E17" s="3" t="s">
        <v>54</v>
      </c>
      <c r="F17" s="15"/>
      <c r="G17" s="10" t="s">
        <v>54</v>
      </c>
      <c r="H17" s="15"/>
    </row>
    <row r="18" spans="2:8" x14ac:dyDescent="0.25">
      <c r="B18" s="6">
        <v>0.5</v>
      </c>
      <c r="C18" s="6">
        <v>0.52083333333333304</v>
      </c>
      <c r="D18" s="15"/>
      <c r="E18" s="18" t="s">
        <v>55</v>
      </c>
      <c r="F18" s="15"/>
      <c r="G18" s="21" t="s">
        <v>55</v>
      </c>
      <c r="H18" s="15"/>
    </row>
    <row r="19" spans="2:8" x14ac:dyDescent="0.25">
      <c r="B19" s="6">
        <v>0.52083333333333304</v>
      </c>
      <c r="C19" s="6">
        <v>0.54166666666666596</v>
      </c>
      <c r="D19" s="15"/>
      <c r="E19" s="18" t="s">
        <v>55</v>
      </c>
      <c r="F19" s="15"/>
      <c r="G19" s="10" t="s">
        <v>61</v>
      </c>
      <c r="H19" s="15"/>
    </row>
    <row r="20" spans="2:8" x14ac:dyDescent="0.25">
      <c r="B20" s="6">
        <v>0.54166666666666696</v>
      </c>
      <c r="C20" s="6">
        <v>0.5625</v>
      </c>
      <c r="D20" s="15"/>
      <c r="E20" s="18" t="s">
        <v>55</v>
      </c>
      <c r="F20" s="15"/>
      <c r="G20" s="10" t="s">
        <v>61</v>
      </c>
      <c r="H20" s="15"/>
    </row>
    <row r="21" spans="2:8" x14ac:dyDescent="0.25">
      <c r="B21" s="6">
        <v>0.5625</v>
      </c>
      <c r="C21" s="6">
        <v>0.58333333333333304</v>
      </c>
      <c r="D21" s="15"/>
      <c r="E21" s="18" t="s">
        <v>55</v>
      </c>
      <c r="F21" s="15"/>
      <c r="G21" s="10" t="s">
        <v>61</v>
      </c>
      <c r="H21" s="15"/>
    </row>
    <row r="22" spans="2:8" x14ac:dyDescent="0.25">
      <c r="B22" s="6">
        <v>0.58333333333333304</v>
      </c>
      <c r="C22" s="6">
        <v>0.60416666666666596</v>
      </c>
      <c r="D22" s="15"/>
      <c r="E22" s="3" t="s">
        <v>59</v>
      </c>
      <c r="F22" s="15"/>
      <c r="G22" s="3" t="s">
        <v>54</v>
      </c>
      <c r="H22" s="3" t="s">
        <v>59</v>
      </c>
    </row>
    <row r="23" spans="2:8" x14ac:dyDescent="0.25">
      <c r="B23" s="6">
        <v>0.60416666666666696</v>
      </c>
      <c r="C23" s="6">
        <v>0.625</v>
      </c>
      <c r="D23" s="15"/>
      <c r="E23" s="3" t="s">
        <v>59</v>
      </c>
      <c r="F23" s="15"/>
      <c r="G23" s="3" t="s">
        <v>54</v>
      </c>
      <c r="H23" s="3" t="s">
        <v>59</v>
      </c>
    </row>
    <row r="24" spans="2:8" x14ac:dyDescent="0.25">
      <c r="B24" s="6">
        <v>0.625</v>
      </c>
      <c r="C24" s="6">
        <v>0.64583333333333304</v>
      </c>
      <c r="D24" s="15"/>
      <c r="E24" s="3" t="s">
        <v>60</v>
      </c>
      <c r="F24" s="15"/>
      <c r="G24" s="3" t="s">
        <v>54</v>
      </c>
      <c r="H24" s="3" t="s">
        <v>60</v>
      </c>
    </row>
    <row r="25" spans="2:8" x14ac:dyDescent="0.25">
      <c r="B25" s="6">
        <v>0.64583333333333304</v>
      </c>
      <c r="C25" s="6">
        <v>0.66666666666666596</v>
      </c>
      <c r="D25" s="15"/>
      <c r="E25" s="3" t="s">
        <v>60</v>
      </c>
      <c r="F25" s="15"/>
      <c r="G25" s="3" t="s">
        <v>54</v>
      </c>
      <c r="H25" s="3" t="s">
        <v>60</v>
      </c>
    </row>
    <row r="26" spans="2:8" x14ac:dyDescent="0.25">
      <c r="B26" s="6">
        <v>0.66666666666666696</v>
      </c>
      <c r="C26" s="6">
        <v>0.6875</v>
      </c>
      <c r="D26" s="15"/>
      <c r="E26" s="18" t="s">
        <v>55</v>
      </c>
      <c r="F26" s="15"/>
      <c r="G26" s="3" t="s">
        <v>54</v>
      </c>
      <c r="H26" s="3"/>
    </row>
    <row r="27" spans="2:8" x14ac:dyDescent="0.25">
      <c r="B27" s="6">
        <v>0.6875</v>
      </c>
      <c r="C27" s="6">
        <v>0.70833333333333304</v>
      </c>
      <c r="D27" s="15"/>
      <c r="E27" s="18" t="s">
        <v>55</v>
      </c>
      <c r="F27" s="15"/>
      <c r="G27" s="3" t="s">
        <v>54</v>
      </c>
      <c r="H27" s="3"/>
    </row>
    <row r="28" spans="2:8" x14ac:dyDescent="0.25">
      <c r="B28" s="6">
        <v>0.70833333333333304</v>
      </c>
      <c r="C28" s="6">
        <v>0.72916666666666596</v>
      </c>
      <c r="D28" s="3"/>
      <c r="E28" s="18" t="s">
        <v>55</v>
      </c>
      <c r="F28" s="15"/>
      <c r="G28" s="18" t="s">
        <v>55</v>
      </c>
      <c r="H28" s="3"/>
    </row>
    <row r="29" spans="2:8" x14ac:dyDescent="0.25">
      <c r="B29" s="6">
        <v>0.72916666666666696</v>
      </c>
      <c r="C29" s="6">
        <v>0.75</v>
      </c>
      <c r="D29" s="3"/>
      <c r="E29" s="18" t="s">
        <v>55</v>
      </c>
      <c r="F29" s="3"/>
      <c r="G29" s="18" t="s">
        <v>55</v>
      </c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1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C00-000000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  <pageSetUpPr fitToPage="1"/>
  </sheetPr>
  <dimension ref="B1:H33"/>
  <sheetViews>
    <sheetView showGridLines="0" workbookViewId="0">
      <selection activeCell="G20" sqref="G20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75</v>
      </c>
      <c r="E3" s="17" t="s">
        <v>17</v>
      </c>
      <c r="F3" s="1">
        <f>SUMIF(Personal!A:A,VJ!C4,Personal!D:D)</f>
        <v>22</v>
      </c>
      <c r="G3" s="19"/>
    </row>
    <row r="4" spans="2:8" x14ac:dyDescent="0.25">
      <c r="B4" t="s">
        <v>16</v>
      </c>
      <c r="C4" s="1">
        <f>SUMIF(Personal!B:B,VJ!C3,Personal!A:A)</f>
        <v>951843</v>
      </c>
      <c r="E4" s="17" t="s">
        <v>18</v>
      </c>
      <c r="F4" s="1">
        <f>COUNTA(D8:H33)*0.5</f>
        <v>33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15"/>
      <c r="E10" s="3" t="s">
        <v>61</v>
      </c>
      <c r="F10" s="3" t="s">
        <v>59</v>
      </c>
      <c r="G10" s="10" t="s">
        <v>62</v>
      </c>
      <c r="H10" s="18" t="s">
        <v>55</v>
      </c>
    </row>
    <row r="11" spans="2:8" x14ac:dyDescent="0.25">
      <c r="B11" s="6">
        <v>0.35416666666666702</v>
      </c>
      <c r="C11" s="6">
        <v>0.375</v>
      </c>
      <c r="D11" s="15"/>
      <c r="E11" s="3" t="s">
        <v>61</v>
      </c>
      <c r="F11" s="3" t="s">
        <v>59</v>
      </c>
      <c r="G11" s="10" t="s">
        <v>62</v>
      </c>
      <c r="H11" s="18" t="s">
        <v>55</v>
      </c>
    </row>
    <row r="12" spans="2:8" x14ac:dyDescent="0.25">
      <c r="B12" s="6">
        <v>0.375</v>
      </c>
      <c r="C12" s="6">
        <v>0.39583333333333298</v>
      </c>
      <c r="D12" s="15"/>
      <c r="E12" s="3" t="s">
        <v>61</v>
      </c>
      <c r="F12" s="3" t="s">
        <v>59</v>
      </c>
      <c r="G12" s="10" t="s">
        <v>59</v>
      </c>
      <c r="H12" s="3" t="s">
        <v>59</v>
      </c>
    </row>
    <row r="13" spans="2:8" x14ac:dyDescent="0.25">
      <c r="B13" s="6">
        <v>0.39583333333333398</v>
      </c>
      <c r="C13" s="6">
        <v>0.41666666666666702</v>
      </c>
      <c r="D13" s="15"/>
      <c r="E13" s="3" t="s">
        <v>54</v>
      </c>
      <c r="F13" s="3" t="s">
        <v>59</v>
      </c>
      <c r="G13" s="10" t="s">
        <v>59</v>
      </c>
      <c r="H13" s="3" t="s">
        <v>59</v>
      </c>
    </row>
    <row r="14" spans="2:8" x14ac:dyDescent="0.25">
      <c r="B14" s="6">
        <v>0.41666666666666702</v>
      </c>
      <c r="C14" s="6">
        <v>0.4375</v>
      </c>
      <c r="D14" s="15"/>
      <c r="E14" s="3" t="s">
        <v>54</v>
      </c>
      <c r="F14" s="3" t="s">
        <v>59</v>
      </c>
      <c r="G14" s="10" t="s">
        <v>59</v>
      </c>
      <c r="H14" s="3" t="s">
        <v>59</v>
      </c>
    </row>
    <row r="15" spans="2:8" x14ac:dyDescent="0.25">
      <c r="B15" s="6">
        <v>0.4375</v>
      </c>
      <c r="C15" s="6">
        <v>0.45833333333333298</v>
      </c>
      <c r="D15" s="15"/>
      <c r="E15" s="3" t="s">
        <v>54</v>
      </c>
      <c r="F15" s="3" t="s">
        <v>60</v>
      </c>
      <c r="G15" s="10" t="s">
        <v>59</v>
      </c>
      <c r="H15" s="3" t="s">
        <v>59</v>
      </c>
    </row>
    <row r="16" spans="2:8" x14ac:dyDescent="0.25">
      <c r="B16" s="6">
        <v>0.45833333333333398</v>
      </c>
      <c r="C16" s="6">
        <v>0.47916666666666702</v>
      </c>
      <c r="D16" s="15"/>
      <c r="E16" s="3" t="s">
        <v>54</v>
      </c>
      <c r="F16" s="3" t="s">
        <v>60</v>
      </c>
      <c r="G16" s="10" t="s">
        <v>59</v>
      </c>
      <c r="H16" s="3" t="s">
        <v>59</v>
      </c>
    </row>
    <row r="17" spans="2:8" x14ac:dyDescent="0.25">
      <c r="B17" s="6">
        <v>0.47916666666666702</v>
      </c>
      <c r="C17" s="6">
        <v>0.5</v>
      </c>
      <c r="D17" s="15"/>
      <c r="E17" s="3" t="s">
        <v>54</v>
      </c>
      <c r="F17" s="3" t="s">
        <v>60</v>
      </c>
      <c r="G17" s="10" t="s">
        <v>60</v>
      </c>
      <c r="H17" s="3" t="s">
        <v>60</v>
      </c>
    </row>
    <row r="18" spans="2:8" x14ac:dyDescent="0.25">
      <c r="B18" s="6">
        <v>0.5</v>
      </c>
      <c r="C18" s="6">
        <v>0.52083333333333304</v>
      </c>
      <c r="D18" s="15"/>
      <c r="E18" s="3" t="s">
        <v>54</v>
      </c>
      <c r="F18" s="3" t="s">
        <v>60</v>
      </c>
      <c r="G18" s="10" t="s">
        <v>60</v>
      </c>
      <c r="H18" s="3" t="s">
        <v>60</v>
      </c>
    </row>
    <row r="19" spans="2:8" x14ac:dyDescent="0.25">
      <c r="B19" s="6">
        <v>0.52083333333333304</v>
      </c>
      <c r="C19" s="6">
        <v>0.54166666666666596</v>
      </c>
      <c r="D19" s="15"/>
      <c r="E19" s="3" t="s">
        <v>54</v>
      </c>
      <c r="F19" s="18" t="s">
        <v>55</v>
      </c>
      <c r="G19" s="21" t="s">
        <v>6</v>
      </c>
      <c r="H19" s="18" t="s">
        <v>6</v>
      </c>
    </row>
    <row r="20" spans="2:8" x14ac:dyDescent="0.25">
      <c r="B20" s="6">
        <v>0.54166666666666696</v>
      </c>
      <c r="C20" s="6">
        <v>0.5625</v>
      </c>
      <c r="D20" s="15"/>
      <c r="E20" s="18" t="s">
        <v>6</v>
      </c>
      <c r="F20" s="18" t="s">
        <v>6</v>
      </c>
      <c r="G20" s="10" t="s">
        <v>62</v>
      </c>
      <c r="H20" s="15"/>
    </row>
    <row r="21" spans="2:8" x14ac:dyDescent="0.25">
      <c r="B21" s="6">
        <v>0.5625</v>
      </c>
      <c r="C21" s="6">
        <v>0.58333333333333304</v>
      </c>
      <c r="D21" s="3" t="s">
        <v>59</v>
      </c>
      <c r="E21" s="18" t="s">
        <v>55</v>
      </c>
      <c r="F21" s="15"/>
      <c r="G21" s="10" t="s">
        <v>62</v>
      </c>
      <c r="H21" s="15"/>
    </row>
    <row r="22" spans="2:8" x14ac:dyDescent="0.25">
      <c r="B22" s="6">
        <v>0.58333333333333304</v>
      </c>
      <c r="C22" s="6">
        <v>0.60416666666666596</v>
      </c>
      <c r="D22" s="3" t="s">
        <v>59</v>
      </c>
      <c r="E22" s="3" t="s">
        <v>54</v>
      </c>
      <c r="F22" s="15"/>
      <c r="G22" s="3" t="s">
        <v>54</v>
      </c>
      <c r="H22" s="15"/>
    </row>
    <row r="23" spans="2:8" x14ac:dyDescent="0.25">
      <c r="B23" s="6">
        <v>0.60416666666666696</v>
      </c>
      <c r="C23" s="6">
        <v>0.625</v>
      </c>
      <c r="D23" s="3" t="s">
        <v>60</v>
      </c>
      <c r="E23" s="3" t="s">
        <v>54</v>
      </c>
      <c r="F23" s="15"/>
      <c r="G23" s="3" t="s">
        <v>54</v>
      </c>
      <c r="H23" s="15"/>
    </row>
    <row r="24" spans="2:8" x14ac:dyDescent="0.25">
      <c r="B24" s="6">
        <v>0.625</v>
      </c>
      <c r="C24" s="6">
        <v>0.64583333333333304</v>
      </c>
      <c r="D24" s="3" t="s">
        <v>60</v>
      </c>
      <c r="E24" s="3" t="s">
        <v>54</v>
      </c>
      <c r="F24" s="15"/>
      <c r="G24" s="3" t="s">
        <v>54</v>
      </c>
      <c r="H24" s="15"/>
    </row>
    <row r="25" spans="2:8" x14ac:dyDescent="0.25">
      <c r="B25" s="6">
        <v>0.64583333333333304</v>
      </c>
      <c r="C25" s="6">
        <v>0.66666666666666596</v>
      </c>
      <c r="D25" s="3" t="s">
        <v>60</v>
      </c>
      <c r="E25" s="3" t="s">
        <v>54</v>
      </c>
      <c r="F25" s="15"/>
      <c r="G25" s="3" t="s">
        <v>54</v>
      </c>
      <c r="H25" s="15"/>
    </row>
    <row r="26" spans="2:8" x14ac:dyDescent="0.25">
      <c r="B26" s="6">
        <v>0.66666666666666696</v>
      </c>
      <c r="C26" s="6">
        <v>0.6875</v>
      </c>
      <c r="D26" s="18" t="s">
        <v>55</v>
      </c>
      <c r="E26" s="18" t="s">
        <v>55</v>
      </c>
      <c r="F26" s="15"/>
      <c r="G26" s="18" t="s">
        <v>55</v>
      </c>
      <c r="H26" s="15"/>
    </row>
    <row r="27" spans="2:8" x14ac:dyDescent="0.25">
      <c r="B27" s="6">
        <v>0.6875</v>
      </c>
      <c r="C27" s="6">
        <v>0.70833333333333304</v>
      </c>
      <c r="D27" s="18" t="s">
        <v>55</v>
      </c>
      <c r="E27" s="18" t="s">
        <v>55</v>
      </c>
      <c r="F27" s="3"/>
      <c r="G27" s="18" t="s">
        <v>55</v>
      </c>
      <c r="H27" s="3"/>
    </row>
    <row r="28" spans="2:8" x14ac:dyDescent="0.25">
      <c r="B28" s="6">
        <v>0.70833333333333304</v>
      </c>
      <c r="C28" s="6">
        <v>0.72916666666666596</v>
      </c>
      <c r="D28" s="18" t="s">
        <v>55</v>
      </c>
      <c r="E28" s="18" t="s">
        <v>55</v>
      </c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D00-000001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  <pageSetUpPr fitToPage="1"/>
  </sheetPr>
  <dimension ref="B1:H33"/>
  <sheetViews>
    <sheetView showGridLines="0" workbookViewId="0">
      <selection activeCell="G28" sqref="G28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76</v>
      </c>
      <c r="E3" s="17" t="s">
        <v>17</v>
      </c>
      <c r="F3" s="1">
        <f>SUMIF(Personal!A:A,JG!C4,Personal!D:D)</f>
        <v>22</v>
      </c>
      <c r="G3" s="19"/>
    </row>
    <row r="4" spans="2:8" x14ac:dyDescent="0.25">
      <c r="B4" t="s">
        <v>16</v>
      </c>
      <c r="C4" s="1">
        <f>SUMIF(Personal!B:B,JG!C3,Personal!A:A)</f>
        <v>357681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/>
      <c r="E10" s="18" t="s">
        <v>55</v>
      </c>
      <c r="F10" s="3"/>
      <c r="G10" s="10"/>
      <c r="H10" s="18" t="s">
        <v>55</v>
      </c>
    </row>
    <row r="11" spans="2:8" x14ac:dyDescent="0.25">
      <c r="B11" s="6">
        <v>0.35416666666666702</v>
      </c>
      <c r="C11" s="6">
        <v>0.375</v>
      </c>
      <c r="D11" s="16"/>
      <c r="E11" s="18" t="s">
        <v>55</v>
      </c>
      <c r="F11" s="16"/>
      <c r="G11" s="22"/>
      <c r="H11" s="18" t="s">
        <v>55</v>
      </c>
    </row>
    <row r="12" spans="2:8" x14ac:dyDescent="0.25">
      <c r="B12" s="6">
        <v>0.375</v>
      </c>
      <c r="C12" s="6">
        <v>0.39583333333333298</v>
      </c>
      <c r="D12" s="16"/>
      <c r="E12" s="18" t="s">
        <v>55</v>
      </c>
      <c r="F12" s="16"/>
      <c r="G12" s="22"/>
      <c r="H12" s="3" t="s">
        <v>59</v>
      </c>
    </row>
    <row r="13" spans="2:8" x14ac:dyDescent="0.25">
      <c r="B13" s="6">
        <v>0.39583333333333398</v>
      </c>
      <c r="C13" s="6">
        <v>0.41666666666666702</v>
      </c>
      <c r="D13" s="16"/>
      <c r="E13" s="18" t="s">
        <v>55</v>
      </c>
      <c r="F13" s="16"/>
      <c r="G13" s="22"/>
      <c r="H13" s="3" t="s">
        <v>59</v>
      </c>
    </row>
    <row r="14" spans="2:8" x14ac:dyDescent="0.25">
      <c r="B14" s="6">
        <v>0.41666666666666702</v>
      </c>
      <c r="C14" s="6">
        <v>0.4375</v>
      </c>
      <c r="D14" s="16"/>
      <c r="E14" s="18" t="s">
        <v>55</v>
      </c>
      <c r="F14" s="16"/>
      <c r="G14" s="22"/>
      <c r="H14" s="3" t="s">
        <v>59</v>
      </c>
    </row>
    <row r="15" spans="2:8" x14ac:dyDescent="0.25">
      <c r="B15" s="6">
        <v>0.4375</v>
      </c>
      <c r="C15" s="6">
        <v>0.45833333333333298</v>
      </c>
      <c r="D15" s="16"/>
      <c r="E15" s="18" t="s">
        <v>55</v>
      </c>
      <c r="F15" s="16"/>
      <c r="G15" s="22"/>
      <c r="H15" s="3" t="s">
        <v>59</v>
      </c>
    </row>
    <row r="16" spans="2:8" x14ac:dyDescent="0.25">
      <c r="B16" s="6">
        <v>0.45833333333333398</v>
      </c>
      <c r="C16" s="6">
        <v>0.47916666666666702</v>
      </c>
      <c r="D16" s="16"/>
      <c r="E16" s="18" t="s">
        <v>55</v>
      </c>
      <c r="F16" s="16"/>
      <c r="G16" s="22"/>
      <c r="H16" s="3" t="s">
        <v>59</v>
      </c>
    </row>
    <row r="17" spans="2:8" x14ac:dyDescent="0.25">
      <c r="B17" s="6">
        <v>0.47916666666666702</v>
      </c>
      <c r="C17" s="6">
        <v>0.5</v>
      </c>
      <c r="D17" s="16"/>
      <c r="E17" s="18" t="s">
        <v>55</v>
      </c>
      <c r="F17" s="16"/>
      <c r="G17" s="22"/>
      <c r="H17" s="3" t="s">
        <v>59</v>
      </c>
    </row>
    <row r="18" spans="2:8" x14ac:dyDescent="0.25">
      <c r="B18" s="6">
        <v>0.5</v>
      </c>
      <c r="C18" s="6">
        <v>0.52083333333333304</v>
      </c>
      <c r="D18" s="16"/>
      <c r="E18" s="3" t="s">
        <v>61</v>
      </c>
      <c r="F18" s="16"/>
      <c r="G18" s="22"/>
      <c r="H18" s="3" t="s">
        <v>59</v>
      </c>
    </row>
    <row r="19" spans="2:8" x14ac:dyDescent="0.25">
      <c r="B19" s="6">
        <v>0.52083333333333304</v>
      </c>
      <c r="C19" s="6">
        <v>0.54166666666666596</v>
      </c>
      <c r="D19" s="16"/>
      <c r="E19" s="3" t="s">
        <v>61</v>
      </c>
      <c r="F19" s="16"/>
      <c r="G19" s="22"/>
      <c r="H19" s="18" t="s">
        <v>55</v>
      </c>
    </row>
    <row r="20" spans="2:8" x14ac:dyDescent="0.25">
      <c r="B20" s="6">
        <v>0.54166666666666696</v>
      </c>
      <c r="C20" s="6">
        <v>0.5625</v>
      </c>
      <c r="D20" s="16"/>
      <c r="E20" s="3" t="s">
        <v>61</v>
      </c>
      <c r="F20" s="16"/>
      <c r="G20" s="22"/>
      <c r="H20" s="3" t="s">
        <v>60</v>
      </c>
    </row>
    <row r="21" spans="2:8" x14ac:dyDescent="0.25">
      <c r="B21" s="6">
        <v>0.5625</v>
      </c>
      <c r="C21" s="6">
        <v>0.58333333333333304</v>
      </c>
      <c r="D21" s="16"/>
      <c r="E21" s="3" t="s">
        <v>61</v>
      </c>
      <c r="F21" s="16"/>
      <c r="G21" s="22"/>
      <c r="H21" s="3" t="s">
        <v>60</v>
      </c>
    </row>
    <row r="22" spans="2:8" x14ac:dyDescent="0.25">
      <c r="B22" s="6">
        <v>0.58333333333333304</v>
      </c>
      <c r="C22" s="6">
        <v>0.60416666666666596</v>
      </c>
      <c r="D22" s="16"/>
      <c r="E22" s="3" t="s">
        <v>54</v>
      </c>
      <c r="F22" s="3" t="s">
        <v>65</v>
      </c>
      <c r="G22" s="16"/>
      <c r="H22" s="3" t="s">
        <v>60</v>
      </c>
    </row>
    <row r="23" spans="2:8" x14ac:dyDescent="0.25">
      <c r="B23" s="6">
        <v>0.60416666666666696</v>
      </c>
      <c r="C23" s="6">
        <v>0.625</v>
      </c>
      <c r="D23" s="16"/>
      <c r="E23" s="18" t="s">
        <v>55</v>
      </c>
      <c r="F23" s="3" t="s">
        <v>65</v>
      </c>
      <c r="G23" s="16"/>
      <c r="H23" s="3" t="s">
        <v>60</v>
      </c>
    </row>
    <row r="24" spans="2:8" x14ac:dyDescent="0.25">
      <c r="B24" s="6">
        <v>0.625</v>
      </c>
      <c r="C24" s="6">
        <v>0.64583333333333304</v>
      </c>
      <c r="D24" s="16"/>
      <c r="E24" s="3" t="s">
        <v>54</v>
      </c>
      <c r="F24" s="3" t="s">
        <v>65</v>
      </c>
      <c r="G24" s="16"/>
      <c r="H24" s="3" t="s">
        <v>60</v>
      </c>
    </row>
    <row r="25" spans="2:8" x14ac:dyDescent="0.25">
      <c r="B25" s="6">
        <v>0.64583333333333304</v>
      </c>
      <c r="C25" s="6">
        <v>0.66666666666666596</v>
      </c>
      <c r="D25" s="16"/>
      <c r="E25" s="3" t="s">
        <v>54</v>
      </c>
      <c r="F25" s="3" t="s">
        <v>65</v>
      </c>
      <c r="G25" s="16"/>
      <c r="H25" s="3" t="s">
        <v>60</v>
      </c>
    </row>
    <row r="26" spans="2:8" x14ac:dyDescent="0.25">
      <c r="B26" s="6">
        <v>0.66666666666666696</v>
      </c>
      <c r="C26" s="6">
        <v>0.6875</v>
      </c>
      <c r="D26" s="16"/>
      <c r="E26" s="3" t="s">
        <v>54</v>
      </c>
      <c r="F26" s="3" t="s">
        <v>65</v>
      </c>
      <c r="G26" s="16"/>
      <c r="H26" s="3"/>
    </row>
    <row r="27" spans="2:8" x14ac:dyDescent="0.25">
      <c r="B27" s="6">
        <v>0.6875</v>
      </c>
      <c r="C27" s="6">
        <v>0.70833333333333304</v>
      </c>
      <c r="D27" s="3"/>
      <c r="E27" s="3" t="s">
        <v>54</v>
      </c>
      <c r="F27" s="3" t="s">
        <v>54</v>
      </c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18" t="s">
        <v>55</v>
      </c>
      <c r="F28" s="3" t="s">
        <v>54</v>
      </c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18" t="s">
        <v>55</v>
      </c>
      <c r="F29" s="3" t="s">
        <v>54</v>
      </c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0F00-000001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  <pageSetUpPr fitToPage="1"/>
  </sheetPr>
  <dimension ref="B1:H33"/>
  <sheetViews>
    <sheetView showGridLines="0" workbookViewId="0">
      <selection activeCell="G18" sqref="G18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77</v>
      </c>
      <c r="E3" s="17" t="s">
        <v>17</v>
      </c>
      <c r="F3" s="1">
        <f>SUMIF(Personal!A:A,MG!C4,Personal!D:D)</f>
        <v>22</v>
      </c>
      <c r="G3" s="19"/>
    </row>
    <row r="4" spans="2:8" x14ac:dyDescent="0.25">
      <c r="B4" t="s">
        <v>16</v>
      </c>
      <c r="C4" s="1">
        <f>SUMIF(Personal!B:B,MG!C3,Personal!A:A)</f>
        <v>852963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/>
      <c r="E10" s="3"/>
      <c r="F10" s="3"/>
      <c r="G10" s="10"/>
      <c r="H10" s="3"/>
    </row>
    <row r="11" spans="2:8" x14ac:dyDescent="0.25">
      <c r="B11" s="6">
        <v>0.35416666666666702</v>
      </c>
      <c r="C11" s="6">
        <v>0.375</v>
      </c>
      <c r="D11" s="3"/>
      <c r="E11" s="3"/>
      <c r="F11" s="3"/>
      <c r="G11" s="10"/>
      <c r="H11" s="3"/>
    </row>
    <row r="12" spans="2:8" x14ac:dyDescent="0.25">
      <c r="B12" s="6">
        <v>0.375</v>
      </c>
      <c r="C12" s="6">
        <v>0.39583333333333298</v>
      </c>
      <c r="D12" s="3" t="s">
        <v>58</v>
      </c>
      <c r="E12" s="18" t="s">
        <v>55</v>
      </c>
      <c r="F12" s="3" t="s">
        <v>59</v>
      </c>
      <c r="G12" s="21" t="s">
        <v>55</v>
      </c>
      <c r="H12" s="16"/>
    </row>
    <row r="13" spans="2:8" x14ac:dyDescent="0.25">
      <c r="B13" s="6">
        <v>0.39583333333333398</v>
      </c>
      <c r="C13" s="6">
        <v>0.41666666666666702</v>
      </c>
      <c r="D13" s="3" t="s">
        <v>58</v>
      </c>
      <c r="E13" s="18" t="s">
        <v>55</v>
      </c>
      <c r="F13" s="3" t="s">
        <v>59</v>
      </c>
      <c r="G13" s="10" t="s">
        <v>54</v>
      </c>
      <c r="H13" s="16"/>
    </row>
    <row r="14" spans="2:8" x14ac:dyDescent="0.25">
      <c r="B14" s="6">
        <v>0.41666666666666702</v>
      </c>
      <c r="C14" s="6">
        <v>0.4375</v>
      </c>
      <c r="D14" s="3" t="s">
        <v>58</v>
      </c>
      <c r="E14" s="18" t="s">
        <v>55</v>
      </c>
      <c r="F14" s="3" t="s">
        <v>59</v>
      </c>
      <c r="G14" s="10" t="s">
        <v>54</v>
      </c>
      <c r="H14" s="16"/>
    </row>
    <row r="15" spans="2:8" x14ac:dyDescent="0.25">
      <c r="B15" s="6">
        <v>0.4375</v>
      </c>
      <c r="C15" s="6">
        <v>0.45833333333333298</v>
      </c>
      <c r="D15" s="3" t="s">
        <v>58</v>
      </c>
      <c r="E15" s="18" t="s">
        <v>55</v>
      </c>
      <c r="F15" s="3" t="s">
        <v>59</v>
      </c>
      <c r="G15" s="10" t="s">
        <v>54</v>
      </c>
      <c r="H15" s="16"/>
    </row>
    <row r="16" spans="2:8" x14ac:dyDescent="0.25">
      <c r="B16" s="6">
        <v>0.45833333333333398</v>
      </c>
      <c r="C16" s="6">
        <v>0.47916666666666702</v>
      </c>
      <c r="D16" s="18" t="s">
        <v>55</v>
      </c>
      <c r="E16" s="18" t="s">
        <v>55</v>
      </c>
      <c r="F16" s="3" t="s">
        <v>60</v>
      </c>
      <c r="G16" s="10" t="s">
        <v>54</v>
      </c>
      <c r="H16" s="16"/>
    </row>
    <row r="17" spans="2:8" x14ac:dyDescent="0.25">
      <c r="B17" s="6">
        <v>0.47916666666666702</v>
      </c>
      <c r="C17" s="6">
        <v>0.5</v>
      </c>
      <c r="D17" s="18" t="s">
        <v>55</v>
      </c>
      <c r="E17" s="18" t="s">
        <v>55</v>
      </c>
      <c r="F17" s="3" t="s">
        <v>60</v>
      </c>
      <c r="G17" s="21" t="s">
        <v>55</v>
      </c>
      <c r="H17" s="16"/>
    </row>
    <row r="18" spans="2:8" x14ac:dyDescent="0.25">
      <c r="B18" s="6">
        <v>0.5</v>
      </c>
      <c r="C18" s="6">
        <v>0.52083333333333304</v>
      </c>
      <c r="D18" s="18" t="s">
        <v>55</v>
      </c>
      <c r="E18" s="18" t="s">
        <v>55</v>
      </c>
      <c r="F18" s="18" t="s">
        <v>55</v>
      </c>
      <c r="G18" s="10" t="s">
        <v>62</v>
      </c>
      <c r="H18" s="16"/>
    </row>
    <row r="19" spans="2:8" x14ac:dyDescent="0.25">
      <c r="B19" s="6">
        <v>0.52083333333333304</v>
      </c>
      <c r="C19" s="6">
        <v>0.54166666666666596</v>
      </c>
      <c r="D19" s="18" t="s">
        <v>6</v>
      </c>
      <c r="E19" s="18" t="s">
        <v>6</v>
      </c>
      <c r="F19" s="18" t="s">
        <v>55</v>
      </c>
      <c r="G19" s="10" t="s">
        <v>62</v>
      </c>
      <c r="H19" s="16"/>
    </row>
    <row r="20" spans="2:8" x14ac:dyDescent="0.25">
      <c r="B20" s="6">
        <v>0.54166666666666696</v>
      </c>
      <c r="C20" s="6">
        <v>0.5625</v>
      </c>
      <c r="D20" s="18" t="s">
        <v>55</v>
      </c>
      <c r="E20" s="18" t="s">
        <v>55</v>
      </c>
      <c r="F20" s="3"/>
      <c r="G20" s="10"/>
      <c r="H20" s="16"/>
    </row>
    <row r="21" spans="2:8" x14ac:dyDescent="0.25">
      <c r="B21" s="6">
        <v>0.5625</v>
      </c>
      <c r="C21" s="6">
        <v>0.58333333333333304</v>
      </c>
      <c r="D21" s="18" t="s">
        <v>55</v>
      </c>
      <c r="E21" s="18" t="s">
        <v>55</v>
      </c>
      <c r="F21" s="3"/>
      <c r="G21" s="10"/>
      <c r="H21" s="16"/>
    </row>
    <row r="22" spans="2:8" x14ac:dyDescent="0.25">
      <c r="B22" s="6">
        <v>0.58333333333333304</v>
      </c>
      <c r="C22" s="6">
        <v>0.60416666666666596</v>
      </c>
      <c r="D22" s="3" t="s">
        <v>58</v>
      </c>
      <c r="E22" s="3" t="s">
        <v>58</v>
      </c>
      <c r="F22" s="3"/>
      <c r="G22" s="3"/>
      <c r="H22" s="16"/>
    </row>
    <row r="23" spans="2:8" x14ac:dyDescent="0.25">
      <c r="B23" s="6">
        <v>0.60416666666666696</v>
      </c>
      <c r="C23" s="6">
        <v>0.625</v>
      </c>
      <c r="D23" s="3" t="s">
        <v>58</v>
      </c>
      <c r="E23" s="3" t="s">
        <v>58</v>
      </c>
      <c r="F23" s="3"/>
      <c r="G23" s="3"/>
      <c r="H23" s="16"/>
    </row>
    <row r="24" spans="2:8" x14ac:dyDescent="0.25">
      <c r="B24" s="6">
        <v>0.625</v>
      </c>
      <c r="C24" s="6">
        <v>0.64583333333333304</v>
      </c>
      <c r="D24" s="3" t="s">
        <v>58</v>
      </c>
      <c r="E24" s="3" t="s">
        <v>58</v>
      </c>
      <c r="F24" s="3"/>
      <c r="G24" s="3"/>
      <c r="H24" s="16"/>
    </row>
    <row r="25" spans="2:8" x14ac:dyDescent="0.25">
      <c r="B25" s="6">
        <v>0.64583333333333304</v>
      </c>
      <c r="C25" s="6">
        <v>0.66666666666666596</v>
      </c>
      <c r="D25" s="3" t="s">
        <v>58</v>
      </c>
      <c r="E25" s="3" t="s">
        <v>58</v>
      </c>
      <c r="F25" s="3"/>
      <c r="G25" s="3"/>
      <c r="H25" s="16"/>
    </row>
    <row r="26" spans="2:8" x14ac:dyDescent="0.25">
      <c r="B26" s="6">
        <v>0.66666666666666696</v>
      </c>
      <c r="C26" s="6">
        <v>0.6875</v>
      </c>
      <c r="D26" s="3"/>
      <c r="E26" s="3"/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3"/>
      <c r="E27" s="3"/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1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1000-000000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  <pageSetUpPr fitToPage="1"/>
  </sheetPr>
  <dimension ref="B1:H33"/>
  <sheetViews>
    <sheetView showGridLines="0" workbookViewId="0">
      <selection activeCell="G22" sqref="G22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78</v>
      </c>
      <c r="E3" s="17" t="s">
        <v>17</v>
      </c>
      <c r="F3" s="1">
        <f>SUMIF(Personal!A:A,LR!C4,Personal!D:D)</f>
        <v>22</v>
      </c>
      <c r="G3" s="19"/>
    </row>
    <row r="4" spans="2:8" x14ac:dyDescent="0.25">
      <c r="B4" t="s">
        <v>16</v>
      </c>
      <c r="C4" s="1">
        <f>SUMIF(Personal!B:B,LR!C3,Personal!A:A)</f>
        <v>147258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/>
      <c r="E10" s="3"/>
      <c r="F10" s="3"/>
      <c r="G10" s="10"/>
      <c r="H10" s="3"/>
    </row>
    <row r="11" spans="2:8" x14ac:dyDescent="0.25">
      <c r="B11" s="6">
        <v>0.35416666666666702</v>
      </c>
      <c r="C11" s="6">
        <v>0.375</v>
      </c>
      <c r="D11" s="16"/>
      <c r="E11" s="18" t="s">
        <v>55</v>
      </c>
      <c r="F11" s="16"/>
      <c r="G11" s="21" t="s">
        <v>55</v>
      </c>
      <c r="H11" s="3" t="s">
        <v>59</v>
      </c>
    </row>
    <row r="12" spans="2:8" x14ac:dyDescent="0.25">
      <c r="B12" s="6">
        <v>0.375</v>
      </c>
      <c r="C12" s="6">
        <v>0.39583333333333298</v>
      </c>
      <c r="D12" s="16"/>
      <c r="E12" s="3" t="s">
        <v>59</v>
      </c>
      <c r="F12" s="16"/>
      <c r="G12" s="10" t="s">
        <v>59</v>
      </c>
      <c r="H12" s="3" t="s">
        <v>59</v>
      </c>
    </row>
    <row r="13" spans="2:8" x14ac:dyDescent="0.25">
      <c r="B13" s="6">
        <v>0.39583333333333398</v>
      </c>
      <c r="C13" s="6">
        <v>0.41666666666666702</v>
      </c>
      <c r="D13" s="16"/>
      <c r="E13" s="3" t="s">
        <v>59</v>
      </c>
      <c r="F13" s="16"/>
      <c r="G13" s="10" t="s">
        <v>59</v>
      </c>
      <c r="H13" s="3" t="s">
        <v>59</v>
      </c>
    </row>
    <row r="14" spans="2:8" x14ac:dyDescent="0.25">
      <c r="B14" s="6">
        <v>0.41666666666666702</v>
      </c>
      <c r="C14" s="6">
        <v>0.4375</v>
      </c>
      <c r="D14" s="16"/>
      <c r="E14" s="3" t="s">
        <v>59</v>
      </c>
      <c r="F14" s="16"/>
      <c r="G14" s="10" t="s">
        <v>59</v>
      </c>
      <c r="H14" s="3" t="s">
        <v>59</v>
      </c>
    </row>
    <row r="15" spans="2:8" x14ac:dyDescent="0.25">
      <c r="B15" s="6">
        <v>0.4375</v>
      </c>
      <c r="C15" s="6">
        <v>0.45833333333333298</v>
      </c>
      <c r="D15" s="16"/>
      <c r="E15" s="3" t="s">
        <v>59</v>
      </c>
      <c r="F15" s="16"/>
      <c r="G15" s="10" t="s">
        <v>59</v>
      </c>
      <c r="H15" s="3" t="s">
        <v>59</v>
      </c>
    </row>
    <row r="16" spans="2:8" x14ac:dyDescent="0.25">
      <c r="B16" s="6">
        <v>0.45833333333333398</v>
      </c>
      <c r="C16" s="6">
        <v>0.47916666666666702</v>
      </c>
      <c r="D16" s="16"/>
      <c r="E16" s="3" t="s">
        <v>60</v>
      </c>
      <c r="F16" s="16"/>
      <c r="G16" s="10" t="s">
        <v>60</v>
      </c>
      <c r="H16" s="3" t="s">
        <v>60</v>
      </c>
    </row>
    <row r="17" spans="2:8" x14ac:dyDescent="0.25">
      <c r="B17" s="6">
        <v>0.47916666666666702</v>
      </c>
      <c r="C17" s="6">
        <v>0.5</v>
      </c>
      <c r="D17" s="16"/>
      <c r="E17" s="3" t="s">
        <v>60</v>
      </c>
      <c r="F17" s="16"/>
      <c r="G17" s="10" t="s">
        <v>60</v>
      </c>
      <c r="H17" s="3" t="s">
        <v>60</v>
      </c>
    </row>
    <row r="18" spans="2:8" x14ac:dyDescent="0.25">
      <c r="B18" s="6">
        <v>0.5</v>
      </c>
      <c r="C18" s="6">
        <v>0.52083333333333304</v>
      </c>
      <c r="D18" s="16"/>
      <c r="E18" s="3" t="s">
        <v>60</v>
      </c>
      <c r="F18" s="16"/>
      <c r="G18" s="10" t="s">
        <v>60</v>
      </c>
      <c r="H18" s="3" t="s">
        <v>60</v>
      </c>
    </row>
    <row r="19" spans="2:8" x14ac:dyDescent="0.25">
      <c r="B19" s="6">
        <v>0.52083333333333304</v>
      </c>
      <c r="C19" s="6">
        <v>0.54166666666666596</v>
      </c>
      <c r="D19" s="16"/>
      <c r="E19" s="18" t="s">
        <v>6</v>
      </c>
      <c r="F19" s="16"/>
      <c r="G19" s="21" t="s">
        <v>6</v>
      </c>
      <c r="H19" s="3"/>
    </row>
    <row r="20" spans="2:8" x14ac:dyDescent="0.25">
      <c r="B20" s="6">
        <v>0.54166666666666696</v>
      </c>
      <c r="C20" s="6">
        <v>0.5625</v>
      </c>
      <c r="D20" s="16"/>
      <c r="E20" s="18" t="s">
        <v>55</v>
      </c>
      <c r="F20" s="16"/>
      <c r="G20" s="21" t="s">
        <v>55</v>
      </c>
      <c r="H20" s="3"/>
    </row>
    <row r="21" spans="2:8" x14ac:dyDescent="0.25">
      <c r="B21" s="6">
        <v>0.5625</v>
      </c>
      <c r="C21" s="6">
        <v>0.58333333333333304</v>
      </c>
      <c r="D21" s="16"/>
      <c r="E21" s="18" t="s">
        <v>55</v>
      </c>
      <c r="F21" s="16"/>
      <c r="G21" s="21" t="s">
        <v>55</v>
      </c>
      <c r="H21" s="3"/>
    </row>
    <row r="22" spans="2:8" x14ac:dyDescent="0.25">
      <c r="B22" s="6">
        <v>0.58333333333333304</v>
      </c>
      <c r="C22" s="6">
        <v>0.60416666666666596</v>
      </c>
      <c r="D22" s="16"/>
      <c r="E22" s="18" t="s">
        <v>55</v>
      </c>
      <c r="F22" s="16"/>
      <c r="G22" s="3" t="s">
        <v>65</v>
      </c>
      <c r="H22" s="3"/>
    </row>
    <row r="23" spans="2:8" x14ac:dyDescent="0.25">
      <c r="B23" s="6">
        <v>0.60416666666666696</v>
      </c>
      <c r="C23" s="6">
        <v>0.625</v>
      </c>
      <c r="D23" s="16"/>
      <c r="E23" s="18" t="s">
        <v>55</v>
      </c>
      <c r="F23" s="16"/>
      <c r="G23" s="3" t="s">
        <v>65</v>
      </c>
      <c r="H23" s="3"/>
    </row>
    <row r="24" spans="2:8" x14ac:dyDescent="0.25">
      <c r="B24" s="6">
        <v>0.625</v>
      </c>
      <c r="C24" s="6">
        <v>0.64583333333333304</v>
      </c>
      <c r="D24" s="16"/>
      <c r="E24" s="18" t="s">
        <v>55</v>
      </c>
      <c r="F24" s="16"/>
      <c r="G24" s="3" t="s">
        <v>65</v>
      </c>
      <c r="H24" s="3"/>
    </row>
    <row r="25" spans="2:8" x14ac:dyDescent="0.25">
      <c r="B25" s="6">
        <v>0.64583333333333304</v>
      </c>
      <c r="C25" s="6">
        <v>0.66666666666666596</v>
      </c>
      <c r="D25" s="16"/>
      <c r="E25" s="18" t="s">
        <v>55</v>
      </c>
      <c r="F25" s="16"/>
      <c r="G25" s="3" t="s">
        <v>65</v>
      </c>
      <c r="H25" s="3"/>
    </row>
    <row r="26" spans="2:8" x14ac:dyDescent="0.25">
      <c r="B26" s="6">
        <v>0.66666666666666696</v>
      </c>
      <c r="C26" s="6">
        <v>0.6875</v>
      </c>
      <c r="D26" s="3"/>
      <c r="E26" s="18" t="s">
        <v>55</v>
      </c>
      <c r="F26" s="3"/>
      <c r="G26" s="3" t="s">
        <v>65</v>
      </c>
      <c r="H26" s="3"/>
    </row>
    <row r="27" spans="2:8" x14ac:dyDescent="0.25">
      <c r="B27" s="6">
        <v>0.6875</v>
      </c>
      <c r="C27" s="6">
        <v>0.70833333333333304</v>
      </c>
      <c r="D27" s="3"/>
      <c r="E27" s="18" t="s">
        <v>55</v>
      </c>
      <c r="F27" s="3"/>
      <c r="G27" s="3" t="s">
        <v>54</v>
      </c>
      <c r="H27" s="3"/>
    </row>
    <row r="28" spans="2:8" x14ac:dyDescent="0.25">
      <c r="B28" s="6">
        <v>0.70833333333333304</v>
      </c>
      <c r="C28" s="6">
        <v>0.72916666666666596</v>
      </c>
      <c r="D28" s="3"/>
      <c r="E28" s="18" t="s">
        <v>55</v>
      </c>
      <c r="F28" s="3"/>
      <c r="G28" s="18" t="s">
        <v>55</v>
      </c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1100-000001000000}">
          <x14:formula1>
            <xm:f>Prestaciones!$D$2:$D$102</xm:f>
          </x14:formula1>
          <xm:sqref>D8:H33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  <pageSetUpPr fitToPage="1"/>
  </sheetPr>
  <dimension ref="B1:H33"/>
  <sheetViews>
    <sheetView showGridLines="0" workbookViewId="0">
      <selection activeCell="F5" sqref="F5"/>
    </sheetView>
  </sheetViews>
  <sheetFormatPr baseColWidth="10" defaultRowHeight="15" x14ac:dyDescent="0.25"/>
  <cols>
    <col min="1" max="1" width="5" customWidth="1"/>
    <col min="4" max="6" width="29.5703125" customWidth="1"/>
    <col min="7" max="7" width="39.42578125" customWidth="1"/>
    <col min="8" max="8" width="29.5703125" customWidth="1"/>
  </cols>
  <sheetData>
    <row r="1" spans="2:8" ht="20.25" thickBot="1" x14ac:dyDescent="0.35">
      <c r="B1" s="2" t="s">
        <v>20</v>
      </c>
    </row>
    <row r="2" spans="2:8" ht="15.75" thickTop="1" x14ac:dyDescent="0.25">
      <c r="G2" s="19"/>
    </row>
    <row r="3" spans="2:8" x14ac:dyDescent="0.25">
      <c r="B3" t="s">
        <v>15</v>
      </c>
      <c r="C3" t="s">
        <v>79</v>
      </c>
      <c r="E3" s="17" t="s">
        <v>17</v>
      </c>
      <c r="F3" s="1">
        <f>SUMIF(Personal!A:A,DR!C4,Personal!D:D)</f>
        <v>22</v>
      </c>
      <c r="G3" s="19"/>
    </row>
    <row r="4" spans="2:8" x14ac:dyDescent="0.25">
      <c r="B4" t="s">
        <v>16</v>
      </c>
      <c r="C4" s="1">
        <f>SUMIF(Personal!B:B,DR!C3,Personal!A:A)</f>
        <v>369874</v>
      </c>
      <c r="E4" s="17" t="s">
        <v>18</v>
      </c>
      <c r="F4" s="1">
        <f>COUNTA(D8:H33)*0.5</f>
        <v>22</v>
      </c>
      <c r="G4" s="19"/>
    </row>
    <row r="5" spans="2:8" x14ac:dyDescent="0.25">
      <c r="B5" t="s">
        <v>19</v>
      </c>
      <c r="C5" t="str">
        <f>IFERROR(VLOOKUP(C4,Personal!A:C,3,FALSE),"-")</f>
        <v>Médico(a) Cirujano(a)</v>
      </c>
      <c r="E5" s="17" t="s">
        <v>67</v>
      </c>
      <c r="F5" t="s">
        <v>81</v>
      </c>
      <c r="G5" s="19"/>
    </row>
    <row r="6" spans="2:8" x14ac:dyDescent="0.25">
      <c r="G6" s="19"/>
    </row>
    <row r="7" spans="2:8" x14ac:dyDescent="0.25">
      <c r="B7" s="5" t="s">
        <v>13</v>
      </c>
      <c r="C7" s="5" t="s">
        <v>14</v>
      </c>
      <c r="D7" s="4" t="s">
        <v>0</v>
      </c>
      <c r="E7" s="4" t="s">
        <v>1</v>
      </c>
      <c r="F7" s="4" t="s">
        <v>2</v>
      </c>
      <c r="G7" s="20" t="s">
        <v>3</v>
      </c>
      <c r="H7" s="4" t="s">
        <v>4</v>
      </c>
    </row>
    <row r="8" spans="2:8" x14ac:dyDescent="0.25">
      <c r="B8" s="6">
        <v>0.29166666666666669</v>
      </c>
      <c r="C8" s="6">
        <v>0.3125</v>
      </c>
      <c r="D8" s="3"/>
      <c r="E8" s="3"/>
      <c r="F8" s="3"/>
      <c r="G8" s="10"/>
      <c r="H8" s="3"/>
    </row>
    <row r="9" spans="2:8" x14ac:dyDescent="0.25">
      <c r="B9" s="6">
        <v>0.3125</v>
      </c>
      <c r="C9" s="6">
        <v>0.33333333333333331</v>
      </c>
      <c r="D9" s="3"/>
      <c r="E9" s="3"/>
      <c r="F9" s="3"/>
      <c r="G9" s="10"/>
      <c r="H9" s="3"/>
    </row>
    <row r="10" spans="2:8" x14ac:dyDescent="0.25">
      <c r="B10" s="6">
        <v>0.33333333333333298</v>
      </c>
      <c r="C10" s="6">
        <v>0.35416666666666702</v>
      </c>
      <c r="D10" s="3"/>
      <c r="F10" s="3"/>
      <c r="H10" s="3"/>
    </row>
    <row r="11" spans="2:8" x14ac:dyDescent="0.25">
      <c r="B11" s="6">
        <v>0.35416666666666702</v>
      </c>
      <c r="C11" s="6">
        <v>0.375</v>
      </c>
      <c r="D11" s="3"/>
      <c r="E11" s="3" t="s">
        <v>61</v>
      </c>
      <c r="F11" s="3"/>
      <c r="G11" s="10" t="s">
        <v>62</v>
      </c>
      <c r="H11" s="3" t="s">
        <v>61</v>
      </c>
    </row>
    <row r="12" spans="2:8" x14ac:dyDescent="0.25">
      <c r="B12" s="6">
        <v>0.375</v>
      </c>
      <c r="C12" s="6">
        <v>0.39583333333333298</v>
      </c>
      <c r="D12" s="3"/>
      <c r="E12" s="3" t="s">
        <v>61</v>
      </c>
      <c r="F12" s="3"/>
      <c r="G12" s="21" t="s">
        <v>62</v>
      </c>
      <c r="H12" s="3" t="s">
        <v>61</v>
      </c>
    </row>
    <row r="13" spans="2:8" x14ac:dyDescent="0.25">
      <c r="B13" s="6">
        <v>0.39583333333333398</v>
      </c>
      <c r="C13" s="6">
        <v>0.41666666666666702</v>
      </c>
      <c r="D13" s="3"/>
      <c r="E13" s="3" t="s">
        <v>61</v>
      </c>
      <c r="F13" s="3"/>
      <c r="G13" s="21" t="s">
        <v>55</v>
      </c>
      <c r="H13" s="3" t="s">
        <v>61</v>
      </c>
    </row>
    <row r="14" spans="2:8" x14ac:dyDescent="0.25">
      <c r="B14" s="6">
        <v>0.41666666666666702</v>
      </c>
      <c r="C14" s="6">
        <v>0.4375</v>
      </c>
      <c r="D14" s="3"/>
      <c r="E14" s="18" t="s">
        <v>55</v>
      </c>
      <c r="F14" s="3"/>
      <c r="G14" s="10" t="s">
        <v>63</v>
      </c>
      <c r="H14" s="3" t="s">
        <v>61</v>
      </c>
    </row>
    <row r="15" spans="2:8" x14ac:dyDescent="0.25">
      <c r="B15" s="6">
        <v>0.4375</v>
      </c>
      <c r="C15" s="6">
        <v>0.45833333333333298</v>
      </c>
      <c r="D15" s="3"/>
      <c r="E15" s="18" t="s">
        <v>55</v>
      </c>
      <c r="F15" s="3"/>
      <c r="G15" s="10" t="s">
        <v>63</v>
      </c>
      <c r="H15" s="18" t="s">
        <v>55</v>
      </c>
    </row>
    <row r="16" spans="2:8" x14ac:dyDescent="0.25">
      <c r="B16" s="6">
        <v>0.45833333333333398</v>
      </c>
      <c r="C16" s="6">
        <v>0.47916666666666702</v>
      </c>
      <c r="D16" s="3"/>
      <c r="E16" s="18" t="s">
        <v>55</v>
      </c>
      <c r="F16" s="3"/>
      <c r="G16" s="10" t="s">
        <v>63</v>
      </c>
      <c r="H16" s="18" t="s">
        <v>55</v>
      </c>
    </row>
    <row r="17" spans="2:8" x14ac:dyDescent="0.25">
      <c r="B17" s="6">
        <v>0.47916666666666702</v>
      </c>
      <c r="C17" s="6">
        <v>0.5</v>
      </c>
      <c r="D17" s="3"/>
      <c r="E17" s="18" t="s">
        <v>55</v>
      </c>
      <c r="F17" s="3"/>
      <c r="G17" s="21" t="s">
        <v>55</v>
      </c>
      <c r="H17" s="18" t="s">
        <v>55</v>
      </c>
    </row>
    <row r="18" spans="2:8" x14ac:dyDescent="0.25">
      <c r="B18" s="6">
        <v>0.5</v>
      </c>
      <c r="C18" s="6">
        <v>0.52083333333333304</v>
      </c>
      <c r="D18" s="3"/>
      <c r="E18" s="3" t="s">
        <v>61</v>
      </c>
      <c r="F18" s="3"/>
      <c r="G18" s="21" t="s">
        <v>55</v>
      </c>
      <c r="H18" s="18" t="s">
        <v>55</v>
      </c>
    </row>
    <row r="19" spans="2:8" x14ac:dyDescent="0.25">
      <c r="B19" s="6">
        <v>0.52083333333333304</v>
      </c>
      <c r="C19" s="6">
        <v>0.54166666666666596</v>
      </c>
      <c r="D19" s="3"/>
      <c r="E19" s="3" t="s">
        <v>61</v>
      </c>
      <c r="F19" s="3"/>
      <c r="G19" s="21" t="s">
        <v>55</v>
      </c>
      <c r="H19" s="18" t="s">
        <v>55</v>
      </c>
    </row>
    <row r="20" spans="2:8" x14ac:dyDescent="0.25">
      <c r="B20" s="6">
        <v>0.54166666666666696</v>
      </c>
      <c r="C20" s="6">
        <v>0.5625</v>
      </c>
      <c r="D20" s="3" t="s">
        <v>61</v>
      </c>
      <c r="E20" s="3" t="s">
        <v>61</v>
      </c>
      <c r="F20" s="3"/>
      <c r="G20" s="21" t="s">
        <v>6</v>
      </c>
      <c r="H20" s="18" t="s">
        <v>6</v>
      </c>
    </row>
    <row r="21" spans="2:8" x14ac:dyDescent="0.25">
      <c r="B21" s="6">
        <v>0.5625</v>
      </c>
      <c r="C21" s="6">
        <v>0.58333333333333304</v>
      </c>
      <c r="D21" s="3" t="s">
        <v>61</v>
      </c>
      <c r="E21" s="3" t="s">
        <v>61</v>
      </c>
      <c r="F21" s="3"/>
      <c r="G21" s="10" t="s">
        <v>58</v>
      </c>
      <c r="H21" s="18" t="s">
        <v>55</v>
      </c>
    </row>
    <row r="22" spans="2:8" x14ac:dyDescent="0.25">
      <c r="B22" s="6">
        <v>0.58333333333333304</v>
      </c>
      <c r="C22" s="6">
        <v>0.60416666666666596</v>
      </c>
      <c r="D22" s="3"/>
      <c r="E22" s="3"/>
      <c r="F22" s="3"/>
      <c r="G22" s="3" t="s">
        <v>58</v>
      </c>
      <c r="H22" s="3" t="s">
        <v>65</v>
      </c>
    </row>
    <row r="23" spans="2:8" x14ac:dyDescent="0.25">
      <c r="B23" s="6">
        <v>0.60416666666666696</v>
      </c>
      <c r="C23" s="6">
        <v>0.625</v>
      </c>
      <c r="D23" s="3"/>
      <c r="E23" s="3"/>
      <c r="F23" s="3" t="s">
        <v>58</v>
      </c>
      <c r="G23" s="3" t="s">
        <v>58</v>
      </c>
      <c r="H23" s="3" t="s">
        <v>65</v>
      </c>
    </row>
    <row r="24" spans="2:8" x14ac:dyDescent="0.25">
      <c r="B24" s="6">
        <v>0.625</v>
      </c>
      <c r="C24" s="6">
        <v>0.64583333333333304</v>
      </c>
      <c r="D24" s="3"/>
      <c r="E24" s="3"/>
      <c r="F24" s="3" t="s">
        <v>58</v>
      </c>
      <c r="G24" s="3" t="s">
        <v>58</v>
      </c>
      <c r="H24" s="3" t="s">
        <v>65</v>
      </c>
    </row>
    <row r="25" spans="2:8" x14ac:dyDescent="0.25">
      <c r="B25" s="6">
        <v>0.64583333333333304</v>
      </c>
      <c r="C25" s="6">
        <v>0.66666666666666596</v>
      </c>
      <c r="D25" s="3"/>
      <c r="E25" s="3"/>
      <c r="F25" s="3"/>
      <c r="G25" s="3"/>
      <c r="H25" s="3" t="s">
        <v>65</v>
      </c>
    </row>
    <row r="26" spans="2:8" x14ac:dyDescent="0.25">
      <c r="B26" s="6">
        <v>0.66666666666666696</v>
      </c>
      <c r="C26" s="6">
        <v>0.6875</v>
      </c>
      <c r="D26" s="3"/>
      <c r="E26" s="3"/>
      <c r="F26" s="3"/>
      <c r="G26" s="3"/>
      <c r="H26" s="3"/>
    </row>
    <row r="27" spans="2:8" x14ac:dyDescent="0.25">
      <c r="B27" s="6">
        <v>0.6875</v>
      </c>
      <c r="C27" s="6">
        <v>0.70833333333333304</v>
      </c>
      <c r="D27" s="3"/>
      <c r="E27" s="3"/>
      <c r="F27" s="3"/>
      <c r="G27" s="3"/>
      <c r="H27" s="3"/>
    </row>
    <row r="28" spans="2:8" x14ac:dyDescent="0.25">
      <c r="B28" s="6">
        <v>0.70833333333333304</v>
      </c>
      <c r="C28" s="6">
        <v>0.72916666666666596</v>
      </c>
      <c r="D28" s="3"/>
      <c r="E28" s="3"/>
      <c r="F28" s="3"/>
      <c r="G28" s="3"/>
      <c r="H28" s="3"/>
    </row>
    <row r="29" spans="2:8" x14ac:dyDescent="0.25">
      <c r="B29" s="6">
        <v>0.72916666666666696</v>
      </c>
      <c r="C29" s="6">
        <v>0.75</v>
      </c>
      <c r="D29" s="3"/>
      <c r="E29" s="3"/>
      <c r="F29" s="3"/>
      <c r="G29" s="3"/>
      <c r="H29" s="3"/>
    </row>
    <row r="30" spans="2:8" x14ac:dyDescent="0.25">
      <c r="B30" s="6">
        <v>0.75</v>
      </c>
      <c r="C30" s="6">
        <v>0.77083333333333304</v>
      </c>
      <c r="D30" s="3"/>
      <c r="E30" s="3"/>
      <c r="F30" s="3"/>
      <c r="G30" s="3"/>
      <c r="H30" s="3"/>
    </row>
    <row r="31" spans="2:8" x14ac:dyDescent="0.25">
      <c r="B31" s="6">
        <v>0.77083333333333304</v>
      </c>
      <c r="C31" s="6">
        <v>0.79166666666666596</v>
      </c>
      <c r="D31" s="3"/>
      <c r="E31" s="3"/>
      <c r="F31" s="3"/>
      <c r="G31" s="3"/>
      <c r="H31" s="3"/>
    </row>
    <row r="32" spans="2:8" x14ac:dyDescent="0.25">
      <c r="B32" s="6">
        <v>0.79166666666666696</v>
      </c>
      <c r="C32" s="6">
        <v>0.8125</v>
      </c>
      <c r="D32" s="3"/>
      <c r="E32" s="3"/>
      <c r="F32" s="3"/>
      <c r="G32" s="3"/>
      <c r="H32" s="3"/>
    </row>
    <row r="33" spans="2:8" x14ac:dyDescent="0.25">
      <c r="B33" s="6">
        <v>0.8125</v>
      </c>
      <c r="C33" s="6">
        <v>0.83333333333333304</v>
      </c>
      <c r="D33" s="3"/>
      <c r="E33" s="3"/>
      <c r="F33" s="3"/>
      <c r="G33" s="3"/>
      <c r="H33" s="3"/>
    </row>
  </sheetData>
  <pageMargins left="0.7" right="0.7" top="0.75" bottom="0.75" header="0.3" footer="0.3"/>
  <pageSetup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Personal!$B$2:$B$68</xm:f>
          </x14:formula1>
          <xm:sqref>C3</xm:sqref>
        </x14:dataValidation>
        <x14:dataValidation type="list" allowBlank="1" showInputMessage="1" showErrorMessage="1" xr:uid="{00000000-0002-0000-1300-000001000000}">
          <x14:formula1>
            <xm:f>Prestaciones!$D$2:$D$102</xm:f>
          </x14:formula1>
          <xm:sqref>D8:H9 D10 D11:H33 F10 H10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Personal</vt:lpstr>
      <vt:lpstr>PM ACTIVIDAD</vt:lpstr>
      <vt:lpstr>Prestaciones</vt:lpstr>
      <vt:lpstr>PM_PROGMEDICA</vt:lpstr>
      <vt:lpstr>Ficha Programación</vt:lpstr>
      <vt:lpstr>OF</vt:lpstr>
      <vt:lpstr>JH</vt:lpstr>
      <vt:lpstr>VR</vt:lpstr>
      <vt:lpstr>EG</vt:lpstr>
      <vt:lpstr>VJ</vt:lpstr>
      <vt:lpstr>JG</vt:lpstr>
      <vt:lpstr>MG</vt:lpstr>
      <vt:lpstr>LR</vt:lpstr>
      <vt:lpstr>DR</vt:lpstr>
      <vt:lpstr>DR!Área_de_impresión</vt:lpstr>
      <vt:lpstr>EG!Área_de_impresión</vt:lpstr>
      <vt:lpstr>JG!Área_de_impresión</vt:lpstr>
      <vt:lpstr>JH!Área_de_impresión</vt:lpstr>
      <vt:lpstr>LR!Área_de_impresión</vt:lpstr>
      <vt:lpstr>MG!Área_de_impresión</vt:lpstr>
      <vt:lpstr>OF!Área_de_impresión</vt:lpstr>
      <vt:lpstr>Personal!Área_de_impresión</vt:lpstr>
      <vt:lpstr>VJ!Área_de_impresión</vt:lpstr>
      <vt:lpstr>VR!Área_de_impresión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internet04</dc:creator>
  <cp:lastModifiedBy>Rene Alonso Lagos Barrios (rlagos)</cp:lastModifiedBy>
  <cp:lastPrinted>2023-10-18T18:09:02Z</cp:lastPrinted>
  <dcterms:created xsi:type="dcterms:W3CDTF">2023-09-04T20:35:41Z</dcterms:created>
  <dcterms:modified xsi:type="dcterms:W3CDTF">2026-01-10T14:34:26Z</dcterms:modified>
</cp:coreProperties>
</file>